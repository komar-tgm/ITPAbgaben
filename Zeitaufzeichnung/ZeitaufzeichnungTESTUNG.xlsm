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David\Desktop\TGM1819\GIT\ITPAbgaben\Zeitaufzeichnung\"/>
    </mc:Choice>
  </mc:AlternateContent>
  <xr:revisionPtr revIDLastSave="0" documentId="13_ncr:1_{847EDD68-DA47-41E9-81F7-407809787E4C}" xr6:coauthVersionLast="37" xr6:coauthVersionMax="37" xr10:uidLastSave="{00000000-0000-0000-0000-000000000000}"/>
  <bookViews>
    <workbookView xWindow="0" yWindow="0" windowWidth="23040" windowHeight="9075" xr2:uid="{00000000-000D-0000-FFFF-FFFF00000000}"/>
  </bookViews>
  <sheets>
    <sheet name="Vorprojekt" sheetId="7" r:id="rId1"/>
    <sheet name="Projektmanagement" sheetId="5" r:id="rId2"/>
    <sheet name="Grobentwicklung" sheetId="1" r:id="rId3"/>
    <sheet name="Feinentwicklung" sheetId="3" r:id="rId4"/>
    <sheet name="Tests und Abnahme" sheetId="4" r:id="rId5"/>
    <sheet name="Gesamtansicht" sheetId="6" r:id="rId6"/>
  </sheet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25" i="5" l="1"/>
  <c r="B25" i="5"/>
  <c r="C18" i="5"/>
  <c r="B18" i="5"/>
  <c r="C17" i="5"/>
  <c r="B17" i="5"/>
  <c r="C15" i="5"/>
  <c r="B15" i="5"/>
  <c r="C14" i="5"/>
  <c r="B14" i="5"/>
  <c r="C22" i="5"/>
  <c r="C21" i="5"/>
  <c r="B21" i="5"/>
  <c r="B22" i="5"/>
  <c r="C24" i="5"/>
  <c r="B24" i="5"/>
  <c r="C23" i="5"/>
  <c r="B23" i="5"/>
  <c r="B26" i="7" l="1"/>
  <c r="B29" i="7" s="1"/>
  <c r="C22" i="7"/>
  <c r="C19" i="7"/>
  <c r="B19" i="7"/>
  <c r="C18" i="7"/>
  <c r="B18" i="7"/>
  <c r="B22" i="7" s="1"/>
  <c r="C29" i="7"/>
  <c r="C28" i="7"/>
  <c r="B28" i="7"/>
  <c r="C27" i="7"/>
  <c r="B27" i="7"/>
  <c r="C26" i="7"/>
  <c r="C25" i="7"/>
  <c r="B25" i="7"/>
</calcChain>
</file>

<file path=xl/sharedStrings.xml><?xml version="1.0" encoding="utf-8"?>
<sst xmlns="http://schemas.openxmlformats.org/spreadsheetml/2006/main" count="208" uniqueCount="70">
  <si>
    <t>Datum</t>
  </si>
  <si>
    <t>Arbeit</t>
  </si>
  <si>
    <t>Projektcontroling</t>
  </si>
  <si>
    <t>Projektabschluss</t>
  </si>
  <si>
    <t>Hauptfunktionen</t>
  </si>
  <si>
    <t>Verschlüsselung und Authentifizierung</t>
  </si>
  <si>
    <t>Detailergänzung</t>
  </si>
  <si>
    <t>Gesamtsystemtest</t>
  </si>
  <si>
    <t>Abnahme</t>
  </si>
  <si>
    <t>Arbeitspaket</t>
  </si>
  <si>
    <t>Ergebnis</t>
  </si>
  <si>
    <t>GESAMT</t>
  </si>
  <si>
    <t>Projektkoordination</t>
  </si>
  <si>
    <t>Name</t>
  </si>
  <si>
    <t>Projektmarketing</t>
  </si>
  <si>
    <t>Projektmanagement</t>
  </si>
  <si>
    <t>Grobentwicklung</t>
  </si>
  <si>
    <t>Feinentwicklung</t>
  </si>
  <si>
    <t>Tests und Abnahme</t>
  </si>
  <si>
    <t>Kostroun</t>
  </si>
  <si>
    <t>Dzindzihashvili</t>
  </si>
  <si>
    <t>Projektantrag</t>
  </si>
  <si>
    <t>Lastenheft</t>
  </si>
  <si>
    <t>Machbarkeitsstudie</t>
  </si>
  <si>
    <t>Pflichtenheft</t>
  </si>
  <si>
    <t>Dzindzihasvili</t>
  </si>
  <si>
    <t>70% Produktfunktionen abgeschlossen</t>
  </si>
  <si>
    <t>Zielbestimmung, 50% Produktfunktionen abgeschlossen</t>
  </si>
  <si>
    <t>Einführung</t>
  </si>
  <si>
    <t>Datenbankkonfiguration</t>
  </si>
  <si>
    <t>Oberflächeng-Gestaltung</t>
  </si>
  <si>
    <t>Oberfächen-Gestaltung</t>
  </si>
  <si>
    <t>Datenbankfunktionsspezifikation</t>
  </si>
  <si>
    <t>Datenbankperfektion</t>
  </si>
  <si>
    <t>Gesamttest</t>
  </si>
  <si>
    <t>geplante Dauer</t>
  </si>
  <si>
    <t>tatsächliche Dauer</t>
  </si>
  <si>
    <t>geplante Gesamtdauer</t>
  </si>
  <si>
    <t>tatsächliche Gesamtdauer</t>
  </si>
  <si>
    <t>Funktionstest</t>
  </si>
  <si>
    <t>Schnittstellentest</t>
  </si>
  <si>
    <t>Kompatibilitätstest</t>
  </si>
  <si>
    <t>Prjektkoordination</t>
  </si>
  <si>
    <t>Omar</t>
  </si>
  <si>
    <t>Gagajew</t>
  </si>
  <si>
    <t>Projektdaten, Projektorganisation fertiggestellt</t>
  </si>
  <si>
    <t>Projektbudget &amp; Wirtschaftlichkeit, Projektkategorisierung fertiggestellt</t>
  </si>
  <si>
    <t>Projektziele, Hauptaufgaben abgeschlossen</t>
  </si>
  <si>
    <t xml:space="preserve"> Nicht-Ziele, Projektrisiken abgeschlossen</t>
  </si>
  <si>
    <t>Vertragsgegenstand, Zwingende Randbedingungen fertiggestellt</t>
  </si>
  <si>
    <t>Qualitätsanforderungen fertiggestellt</t>
  </si>
  <si>
    <t>90% Produktfunktionen abgeschlossen</t>
  </si>
  <si>
    <t>Fehlerkorrektur durchgeführt</t>
  </si>
  <si>
    <t>100% Produktfunktionen abgeschlossen, Fehlerkorrektur durchgeführt, Abgabe</t>
  </si>
  <si>
    <t>Arbeitsaufteilung</t>
  </si>
  <si>
    <t>Projektpräsentation</t>
  </si>
  <si>
    <t>Projekthandbuch</t>
  </si>
  <si>
    <t>Projektmeeting</t>
  </si>
  <si>
    <t xml:space="preserve">Kostroun </t>
  </si>
  <si>
    <t>Projetkmarketing</t>
  </si>
  <si>
    <t>100% Präsentation fertiggestellt</t>
  </si>
  <si>
    <t>Projekpräsentation</t>
  </si>
  <si>
    <t>Präsentation vorgetragen</t>
  </si>
  <si>
    <t>Jedem Teammitglied wurde Arbeit zugeteilt</t>
  </si>
  <si>
    <t>30% Projektpräsentation abgeschlossen</t>
  </si>
  <si>
    <t>80% Präsentation abgeschlossen</t>
  </si>
  <si>
    <t>Fortschritt und Präsentation des Projekt im Team besprochen</t>
  </si>
  <si>
    <t>60% Präsentation abgeschlossen</t>
  </si>
  <si>
    <t>Projektauftrag, Projektzielplan,Projektumweltengrafik, Projektumweltenbeziehungen</t>
  </si>
  <si>
    <t>Projektorganigramm, Projektorganisation, Projektstrukturplan, Projektfunktionendiagramm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</si>
</sst>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2">
    <xf numFmtId="0" fontId="0" fillId="0" borderId="0" xfId="0"/>
    <xf numFmtId="0" fontId="1" fillId="0" borderId="7" xfId="0" applyFont="1" applyBorder="1"/>
    <xf numFmtId="0" fontId="1" fillId="0" borderId="2" xfId="0" applyFont="1" applyBorder="1" applyAlignment="1">
      <alignment horizontal="center"/>
    </xf>
    <xf numFmtId="0" fontId="1" fillId="0" borderId="2" xfId="0" applyFont="1" applyBorder="1" applyAlignment="1"/>
    <xf numFmtId="0" fontId="1" fillId="0" borderId="2" xfId="0" applyFont="1" applyBorder="1"/>
    <xf numFmtId="0" fontId="1" fillId="0" borderId="3" xfId="0" applyFont="1" applyBorder="1"/>
    <xf numFmtId="0" fontId="1" fillId="0" borderId="0" xfId="0" applyFont="1"/>
    <xf numFmtId="0" fontId="1" fillId="0" borderId="8" xfId="0" applyFont="1" applyBorder="1"/>
    <xf numFmtId="0" fontId="1" fillId="0" borderId="10" xfId="0" applyFont="1" applyFill="1" applyBorder="1"/>
    <xf numFmtId="0" fontId="1" fillId="0" borderId="0" xfId="0" applyFont="1" applyBorder="1"/>
    <xf numFmtId="14" fontId="1" fillId="0" borderId="0" xfId="0" applyNumberFormat="1" applyFont="1" applyBorder="1"/>
    <xf numFmtId="0" fontId="1" fillId="0" borderId="4" xfId="0" applyFont="1" applyBorder="1"/>
    <xf numFmtId="0" fontId="1" fillId="0" borderId="9" xfId="0" applyFont="1" applyBorder="1"/>
    <xf numFmtId="0" fontId="1" fillId="0" borderId="10" xfId="0" applyFont="1" applyBorder="1"/>
    <xf numFmtId="0" fontId="1" fillId="0" borderId="12" xfId="0" applyFont="1" applyBorder="1"/>
    <xf numFmtId="0" fontId="1" fillId="0" borderId="0" xfId="0" applyFont="1" applyFill="1" applyBorder="1"/>
    <xf numFmtId="0" fontId="1" fillId="0" borderId="11" xfId="0" applyFont="1" applyBorder="1"/>
    <xf numFmtId="0" fontId="1" fillId="0" borderId="5" xfId="0" applyFont="1" applyBorder="1"/>
    <xf numFmtId="14" fontId="1" fillId="0" borderId="5" xfId="0" applyNumberFormat="1" applyFont="1" applyBorder="1"/>
    <xf numFmtId="0" fontId="1" fillId="0" borderId="6" xfId="0" applyFont="1" applyBorder="1"/>
    <xf numFmtId="164" fontId="1" fillId="0" borderId="0" xfId="0" applyNumberFormat="1" applyFont="1"/>
    <xf numFmtId="0" fontId="1" fillId="0" borderId="1" xfId="0" applyFont="1" applyBorder="1"/>
    <xf numFmtId="2" fontId="1" fillId="0" borderId="2" xfId="0" applyNumberFormat="1" applyFont="1" applyBorder="1"/>
    <xf numFmtId="0" fontId="1" fillId="0" borderId="4" xfId="0" applyNumberFormat="1" applyFont="1" applyBorder="1"/>
    <xf numFmtId="2" fontId="1" fillId="0" borderId="5" xfId="0" applyNumberFormat="1" applyFont="1" applyBorder="1"/>
    <xf numFmtId="0" fontId="1" fillId="0" borderId="6" xfId="0" applyNumberFormat="1" applyFont="1" applyBorder="1"/>
    <xf numFmtId="2" fontId="1" fillId="0" borderId="0" xfId="0" applyNumberFormat="1" applyFont="1"/>
    <xf numFmtId="0" fontId="1" fillId="0" borderId="2" xfId="0" applyFont="1" applyBorder="1" applyAlignment="1">
      <alignment horizontal="left"/>
    </xf>
    <xf numFmtId="164" fontId="1" fillId="0" borderId="4" xfId="0" applyNumberFormat="1" applyFont="1" applyBorder="1"/>
    <xf numFmtId="164" fontId="1" fillId="0" borderId="6" xfId="0" applyNumberFormat="1" applyFont="1" applyBorder="1"/>
    <xf numFmtId="20" fontId="1" fillId="0" borderId="10" xfId="0" applyNumberFormat="1" applyFont="1" applyBorder="1"/>
    <xf numFmtId="0" fontId="1" fillId="0" borderId="11" xfId="0" applyFont="1" applyFill="1" applyBorder="1"/>
    <xf numFmtId="0" fontId="1" fillId="0" borderId="15" xfId="0" applyFont="1" applyBorder="1"/>
    <xf numFmtId="0" fontId="1" fillId="0" borderId="13" xfId="0" applyFont="1" applyBorder="1"/>
    <xf numFmtId="0" fontId="1" fillId="0" borderId="16" xfId="0" applyFont="1" applyBorder="1"/>
    <xf numFmtId="164" fontId="1" fillId="0" borderId="13" xfId="0" applyNumberFormat="1" applyFont="1" applyBorder="1"/>
    <xf numFmtId="164" fontId="1" fillId="0" borderId="12" xfId="0" applyNumberFormat="1" applyFont="1" applyBorder="1"/>
    <xf numFmtId="20" fontId="1" fillId="0" borderId="4" xfId="0" applyNumberFormat="1" applyFont="1" applyBorder="1"/>
    <xf numFmtId="2" fontId="1" fillId="0" borderId="4" xfId="0" applyNumberFormat="1" applyFont="1" applyBorder="1"/>
    <xf numFmtId="0" fontId="1" fillId="0" borderId="16" xfId="0" applyFont="1" applyBorder="1" applyAlignment="1">
      <alignment horizontal="left"/>
    </xf>
    <xf numFmtId="164" fontId="1" fillId="0" borderId="5" xfId="0" applyNumberFormat="1" applyFont="1" applyBorder="1"/>
    <xf numFmtId="0" fontId="1" fillId="0" borderId="0" xfId="0" applyFont="1" applyBorder="1" applyAlignment="1">
      <alignment horizontal="center"/>
    </xf>
    <xf numFmtId="164" fontId="1" fillId="0" borderId="1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164" fontId="1" fillId="0" borderId="9" xfId="0" applyNumberFormat="1" applyFont="1" applyBorder="1" applyAlignment="1">
      <alignment horizontal="right"/>
    </xf>
    <xf numFmtId="164" fontId="1" fillId="0" borderId="10" xfId="0" applyNumberFormat="1" applyFont="1" applyBorder="1"/>
    <xf numFmtId="164" fontId="1" fillId="0" borderId="0" xfId="0" applyNumberFormat="1" applyFont="1" applyBorder="1"/>
    <xf numFmtId="164" fontId="1" fillId="0" borderId="0" xfId="0" applyNumberFormat="1" applyFont="1" applyFill="1" applyBorder="1"/>
    <xf numFmtId="164" fontId="1" fillId="0" borderId="9" xfId="0" applyNumberFormat="1" applyFont="1" applyBorder="1"/>
    <xf numFmtId="164" fontId="1" fillId="0" borderId="11" xfId="0" applyNumberFormat="1" applyFont="1" applyBorder="1"/>
    <xf numFmtId="164" fontId="1" fillId="0" borderId="4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center"/>
    </xf>
    <xf numFmtId="164" fontId="1" fillId="0" borderId="0" xfId="0" applyNumberFormat="1" applyFont="1" applyBorder="1" applyAlignment="1">
      <alignment horizontal="center"/>
    </xf>
    <xf numFmtId="164" fontId="1" fillId="0" borderId="2" xfId="0" applyNumberFormat="1" applyFont="1" applyBorder="1"/>
    <xf numFmtId="164" fontId="1" fillId="0" borderId="14" xfId="0" applyNumberFormat="1" applyFont="1" applyBorder="1" applyAlignment="1">
      <alignment horizontal="left"/>
    </xf>
    <xf numFmtId="0" fontId="1" fillId="0" borderId="19" xfId="0" applyFont="1" applyBorder="1" applyAlignment="1">
      <alignment horizontal="left"/>
    </xf>
    <xf numFmtId="164" fontId="1" fillId="0" borderId="0" xfId="0" applyNumberFormat="1" applyFont="1" applyAlignment="1">
      <alignment horizontal="center"/>
    </xf>
    <xf numFmtId="164" fontId="1" fillId="0" borderId="0" xfId="0" applyNumberFormat="1" applyFont="1" applyFill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0" xfId="0" applyNumberFormat="1" applyFont="1" applyBorder="1" applyAlignment="1">
      <alignment horizontal="center"/>
    </xf>
    <xf numFmtId="2" fontId="1" fillId="0" borderId="5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right"/>
    </xf>
    <xf numFmtId="164" fontId="1" fillId="0" borderId="12" xfId="0" applyNumberFormat="1" applyFont="1" applyBorder="1" applyAlignment="1">
      <alignment horizontal="right"/>
    </xf>
    <xf numFmtId="164" fontId="1" fillId="0" borderId="18" xfId="0" applyNumberFormat="1" applyFont="1" applyBorder="1" applyAlignment="1">
      <alignment horizontal="right"/>
    </xf>
    <xf numFmtId="164" fontId="1" fillId="0" borderId="8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0" xfId="0" applyNumberFormat="1" applyFont="1" applyBorder="1" applyAlignment="1">
      <alignment horizontal="right"/>
    </xf>
    <xf numFmtId="164" fontId="1" fillId="0" borderId="16" xfId="0" applyNumberFormat="1" applyFont="1" applyBorder="1" applyAlignment="1">
      <alignment horizontal="center"/>
    </xf>
    <xf numFmtId="164" fontId="1" fillId="0" borderId="0" xfId="0" applyNumberFormat="1" applyFont="1" applyBorder="1" applyAlignment="1"/>
    <xf numFmtId="164" fontId="1" fillId="0" borderId="0" xfId="0" applyNumberFormat="1" applyFont="1" applyBorder="1" applyAlignment="1">
      <alignment horizontal="right"/>
    </xf>
    <xf numFmtId="164" fontId="1" fillId="0" borderId="4" xfId="0" applyNumberFormat="1" applyFont="1" applyBorder="1" applyAlignment="1">
      <alignment horizontal="right"/>
    </xf>
    <xf numFmtId="164" fontId="1" fillId="0" borderId="5" xfId="0" applyNumberFormat="1" applyFont="1" applyBorder="1" applyAlignment="1">
      <alignment horizontal="right"/>
    </xf>
    <xf numFmtId="164" fontId="1" fillId="0" borderId="6" xfId="0" applyNumberFormat="1" applyFont="1" applyBorder="1" applyAlignment="1">
      <alignment horizontal="right"/>
    </xf>
    <xf numFmtId="164" fontId="1" fillId="0" borderId="16" xfId="0" applyNumberFormat="1" applyFont="1" applyBorder="1" applyAlignment="1">
      <alignment horizontal="center"/>
    </xf>
    <xf numFmtId="164" fontId="1" fillId="0" borderId="13" xfId="0" applyNumberFormat="1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4" fontId="1" fillId="0" borderId="14" xfId="0" applyNumberFormat="1" applyFont="1" applyBorder="1" applyAlignment="1">
      <alignment horizontal="right"/>
    </xf>
    <xf numFmtId="164" fontId="1" fillId="0" borderId="17" xfId="0" applyNumberFormat="1" applyFont="1" applyBorder="1" applyAlignment="1">
      <alignment horizontal="right"/>
    </xf>
    <xf numFmtId="0" fontId="1" fillId="0" borderId="17" xfId="0" applyFont="1" applyBorder="1" applyAlignment="1">
      <alignment horizontal="right"/>
    </xf>
    <xf numFmtId="0" fontId="1" fillId="0" borderId="4" xfId="0" applyFont="1" applyBorder="1" applyAlignment="1">
      <alignment horizontal="right"/>
    </xf>
    <xf numFmtId="0" fontId="1" fillId="0" borderId="6" xfId="0" applyFont="1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right"/>
    </xf>
    <xf numFmtId="0" fontId="0" fillId="0" borderId="17" xfId="0" applyBorder="1" applyAlignment="1">
      <alignment horizontal="right"/>
    </xf>
    <xf numFmtId="0" fontId="0" fillId="0" borderId="4" xfId="0" applyBorder="1" applyAlignment="1"/>
    <xf numFmtId="0" fontId="0" fillId="0" borderId="13" xfId="0" applyBorder="1" applyAlignment="1">
      <alignment horizontal="center"/>
    </xf>
    <xf numFmtId="0" fontId="0" fillId="0" borderId="6" xfId="0" applyBorder="1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F29"/>
  <sheetViews>
    <sheetView tabSelected="1" zoomScale="115" zoomScaleNormal="115" workbookViewId="0">
      <selection activeCell="F22" sqref="F22"/>
    </sheetView>
  </sheetViews>
  <sheetFormatPr defaultColWidth="11.140625" defaultRowHeight="11.25" x14ac:dyDescent="0.2"/>
  <cols>
    <col min="1" max="1" width="14.7109375" style="6" bestFit="1" customWidth="1"/>
    <col min="2" max="2" width="16" style="6" customWidth="1"/>
    <col min="3" max="3" width="19.140625" style="6" customWidth="1"/>
    <col min="4" max="4" width="11.42578125" style="6" bestFit="1" customWidth="1"/>
    <col min="5" max="5" width="13.42578125" style="6" customWidth="1"/>
    <col min="6" max="6" width="55.140625" style="6" customWidth="1"/>
    <col min="7" max="7" width="17.140625" style="6" bestFit="1" customWidth="1"/>
    <col min="8" max="8" width="17.28515625" style="6" bestFit="1" customWidth="1"/>
    <col min="9" max="9" width="13.28515625" style="6" customWidth="1"/>
    <col min="10" max="16384" width="11.140625" style="6"/>
  </cols>
  <sheetData>
    <row r="1" spans="1:6" x14ac:dyDescent="0.2">
      <c r="A1" s="1" t="s">
        <v>13</v>
      </c>
      <c r="B1" s="27" t="s">
        <v>9</v>
      </c>
      <c r="C1" s="3" t="s">
        <v>0</v>
      </c>
      <c r="D1" s="4" t="s">
        <v>35</v>
      </c>
      <c r="E1" s="4" t="s">
        <v>36</v>
      </c>
      <c r="F1" s="5" t="s">
        <v>10</v>
      </c>
    </row>
    <row r="2" spans="1:6" ht="12" thickBot="1" x14ac:dyDescent="0.25">
      <c r="A2" s="7" t="s">
        <v>19</v>
      </c>
      <c r="B2" s="9" t="s">
        <v>21</v>
      </c>
      <c r="C2" s="10">
        <v>43373</v>
      </c>
      <c r="D2" s="60">
        <v>0.5</v>
      </c>
      <c r="E2" s="56">
        <v>0.5</v>
      </c>
      <c r="F2" s="11" t="s">
        <v>45</v>
      </c>
    </row>
    <row r="3" spans="1:6" ht="12" thickBot="1" x14ac:dyDescent="0.25">
      <c r="A3" s="12" t="s">
        <v>43</v>
      </c>
      <c r="B3" s="9" t="s">
        <v>21</v>
      </c>
      <c r="C3" s="10">
        <v>43375</v>
      </c>
      <c r="D3" s="60">
        <v>1</v>
      </c>
      <c r="E3" s="56">
        <v>1</v>
      </c>
      <c r="F3" s="11" t="s">
        <v>47</v>
      </c>
    </row>
    <row r="4" spans="1:6" ht="12" thickBot="1" x14ac:dyDescent="0.25">
      <c r="A4" s="12" t="s">
        <v>44</v>
      </c>
      <c r="B4" s="9" t="s">
        <v>21</v>
      </c>
      <c r="C4" s="10">
        <v>43375</v>
      </c>
      <c r="D4" s="60">
        <v>0.5</v>
      </c>
      <c r="E4" s="56">
        <v>0.5</v>
      </c>
      <c r="F4" s="11" t="s">
        <v>48</v>
      </c>
    </row>
    <row r="5" spans="1:6" ht="12" thickBot="1" x14ac:dyDescent="0.25">
      <c r="A5" s="12" t="s">
        <v>25</v>
      </c>
      <c r="B5" s="9" t="s">
        <v>21</v>
      </c>
      <c r="C5" s="10">
        <v>43376</v>
      </c>
      <c r="D5" s="60">
        <v>0.5</v>
      </c>
      <c r="E5" s="56">
        <v>0.5</v>
      </c>
      <c r="F5" s="11" t="s">
        <v>46</v>
      </c>
    </row>
    <row r="6" spans="1:6" ht="12" thickBot="1" x14ac:dyDescent="0.25">
      <c r="A6" s="12" t="s">
        <v>43</v>
      </c>
      <c r="B6" s="9" t="s">
        <v>22</v>
      </c>
      <c r="C6" s="10">
        <v>43378</v>
      </c>
      <c r="D6" s="60">
        <v>0.5</v>
      </c>
      <c r="E6" s="61">
        <v>0.5</v>
      </c>
      <c r="F6" s="11" t="s">
        <v>28</v>
      </c>
    </row>
    <row r="7" spans="1:6" ht="12" thickBot="1" x14ac:dyDescent="0.25">
      <c r="A7" s="12" t="s">
        <v>44</v>
      </c>
      <c r="B7" s="9" t="s">
        <v>22</v>
      </c>
      <c r="C7" s="10">
        <v>43380</v>
      </c>
      <c r="D7" s="60">
        <v>1</v>
      </c>
      <c r="E7" s="61">
        <v>1.5</v>
      </c>
      <c r="F7" s="11" t="s">
        <v>27</v>
      </c>
    </row>
    <row r="8" spans="1:6" ht="12" thickBot="1" x14ac:dyDescent="0.25">
      <c r="A8" s="12" t="s">
        <v>25</v>
      </c>
      <c r="B8" s="9" t="s">
        <v>22</v>
      </c>
      <c r="C8" s="10">
        <v>43383</v>
      </c>
      <c r="D8" s="60">
        <v>1</v>
      </c>
      <c r="E8" s="61">
        <v>1</v>
      </c>
      <c r="F8" s="11" t="s">
        <v>26</v>
      </c>
    </row>
    <row r="9" spans="1:6" ht="12" customHeight="1" thickBot="1" x14ac:dyDescent="0.25">
      <c r="A9" s="14" t="s">
        <v>19</v>
      </c>
      <c r="B9" s="9" t="s">
        <v>22</v>
      </c>
      <c r="C9" s="10">
        <v>43383</v>
      </c>
      <c r="D9" s="56">
        <v>1</v>
      </c>
      <c r="E9" s="61">
        <v>1</v>
      </c>
      <c r="F9" s="11" t="s">
        <v>51</v>
      </c>
    </row>
    <row r="10" spans="1:6" ht="12" thickBot="1" x14ac:dyDescent="0.25">
      <c r="A10" s="12" t="s">
        <v>43</v>
      </c>
      <c r="B10" s="9" t="s">
        <v>22</v>
      </c>
      <c r="C10" s="10">
        <v>43385</v>
      </c>
      <c r="D10" s="56">
        <v>0.5</v>
      </c>
      <c r="E10" s="61">
        <v>1</v>
      </c>
      <c r="F10" s="11" t="s">
        <v>50</v>
      </c>
    </row>
    <row r="11" spans="1:6" ht="12" thickBot="1" x14ac:dyDescent="0.25">
      <c r="A11" s="12" t="s">
        <v>44</v>
      </c>
      <c r="B11" s="9" t="s">
        <v>22</v>
      </c>
      <c r="C11" s="10">
        <v>43386</v>
      </c>
      <c r="D11" s="56">
        <v>1</v>
      </c>
      <c r="E11" s="61">
        <v>1</v>
      </c>
      <c r="F11" s="11" t="s">
        <v>49</v>
      </c>
    </row>
    <row r="12" spans="1:6" ht="12" customHeight="1" thickBot="1" x14ac:dyDescent="0.25">
      <c r="A12" s="12" t="s">
        <v>19</v>
      </c>
      <c r="B12" s="9" t="s">
        <v>22</v>
      </c>
      <c r="C12" s="10">
        <v>43386</v>
      </c>
      <c r="D12" s="41">
        <v>0.5</v>
      </c>
      <c r="E12" s="56">
        <v>1</v>
      </c>
      <c r="F12" s="11" t="s">
        <v>52</v>
      </c>
    </row>
    <row r="13" spans="1:6" ht="12" thickBot="1" x14ac:dyDescent="0.25">
      <c r="A13" s="12" t="s">
        <v>25</v>
      </c>
      <c r="B13" s="16" t="s">
        <v>22</v>
      </c>
      <c r="C13" s="18">
        <v>43387</v>
      </c>
      <c r="D13" s="55">
        <v>1</v>
      </c>
      <c r="E13" s="55">
        <v>1</v>
      </c>
      <c r="F13" s="19" t="s">
        <v>53</v>
      </c>
    </row>
    <row r="15" spans="1:6" ht="13.5" customHeight="1" x14ac:dyDescent="0.2"/>
    <row r="16" spans="1:6" ht="12" customHeight="1" thickBot="1" x14ac:dyDescent="0.25"/>
    <row r="17" spans="1:4" ht="12.75" customHeight="1" thickBot="1" x14ac:dyDescent="0.25">
      <c r="A17" s="32" t="s">
        <v>9</v>
      </c>
      <c r="B17" s="39" t="s">
        <v>37</v>
      </c>
      <c r="C17" s="79" t="s">
        <v>38</v>
      </c>
      <c r="D17" s="80"/>
    </row>
    <row r="18" spans="1:4" ht="13.5" customHeight="1" x14ac:dyDescent="0.2">
      <c r="A18" s="13" t="s">
        <v>21</v>
      </c>
      <c r="B18" s="20">
        <f>SUM(D2,D3,D5,D4)</f>
        <v>2.5</v>
      </c>
      <c r="C18" s="74">
        <f>SUM(E2,E3,E5,E4)</f>
        <v>2.5</v>
      </c>
      <c r="D18" s="74"/>
    </row>
    <row r="19" spans="1:4" ht="11.45" customHeight="1" x14ac:dyDescent="0.25">
      <c r="A19" s="13" t="s">
        <v>22</v>
      </c>
      <c r="B19" s="20">
        <f>SUM(D6,D7,D8,D9,D10,D11,D12,D13)</f>
        <v>6.5</v>
      </c>
      <c r="C19" s="73">
        <f>SUM(E6,E7,E8,E9,E10,E11,E12,E13)</f>
        <v>8</v>
      </c>
      <c r="D19" s="86"/>
    </row>
    <row r="20" spans="1:4" ht="12" customHeight="1" x14ac:dyDescent="0.25">
      <c r="A20" s="13" t="s">
        <v>23</v>
      </c>
      <c r="B20" s="20"/>
      <c r="C20" s="73"/>
      <c r="D20" s="86"/>
    </row>
    <row r="21" spans="1:4" ht="12" customHeight="1" x14ac:dyDescent="0.25">
      <c r="A21" s="8" t="s">
        <v>24</v>
      </c>
      <c r="B21" s="20"/>
      <c r="C21" s="73"/>
      <c r="D21" s="86"/>
    </row>
    <row r="22" spans="1:4" ht="12" customHeight="1" thickBot="1" x14ac:dyDescent="0.3">
      <c r="A22" s="31" t="s">
        <v>11</v>
      </c>
      <c r="B22" s="40">
        <f>SUM(B18,B19,B20,B21)</f>
        <v>9</v>
      </c>
      <c r="C22" s="75">
        <f>SUM(C18,C19,C20,C21)</f>
        <v>10.5</v>
      </c>
      <c r="D22" s="87"/>
    </row>
    <row r="23" spans="1:4" ht="12.75" customHeight="1" thickBot="1" x14ac:dyDescent="0.25">
      <c r="B23" s="20"/>
      <c r="C23" s="20"/>
      <c r="D23" s="20"/>
    </row>
    <row r="24" spans="1:4" ht="13.5" customHeight="1" thickBot="1" x14ac:dyDescent="0.3">
      <c r="A24" s="32" t="s">
        <v>13</v>
      </c>
      <c r="B24" s="45" t="s">
        <v>37</v>
      </c>
      <c r="C24" s="71" t="s">
        <v>38</v>
      </c>
      <c r="D24" s="90"/>
    </row>
    <row r="25" spans="1:4" ht="12" customHeight="1" x14ac:dyDescent="0.25">
      <c r="A25" s="13" t="s">
        <v>19</v>
      </c>
      <c r="B25" s="20">
        <f>SUM(D2,D9,D12)</f>
        <v>2</v>
      </c>
      <c r="C25" s="81">
        <f>SUM(E2,E9,E12)</f>
        <v>2.5</v>
      </c>
      <c r="D25" s="88"/>
    </row>
    <row r="26" spans="1:4" ht="12" customHeight="1" x14ac:dyDescent="0.25">
      <c r="A26" s="13" t="s">
        <v>43</v>
      </c>
      <c r="B26" s="20">
        <f>SUM(D3,D6,D10)</f>
        <v>2</v>
      </c>
      <c r="C26" s="73">
        <f>SUM(E3,E6,E10)</f>
        <v>2.5</v>
      </c>
      <c r="D26" s="89"/>
    </row>
    <row r="27" spans="1:4" ht="12" customHeight="1" x14ac:dyDescent="0.25">
      <c r="A27" s="13" t="s">
        <v>20</v>
      </c>
      <c r="B27" s="48">
        <f>SUM(D5,D8,D13)</f>
        <v>2.5</v>
      </c>
      <c r="C27" s="73">
        <f>SUM(E5,E8,E13)</f>
        <v>2.5</v>
      </c>
      <c r="D27" s="89"/>
    </row>
    <row r="28" spans="1:4" ht="12" customHeight="1" x14ac:dyDescent="0.25">
      <c r="A28" s="13" t="s">
        <v>44</v>
      </c>
      <c r="B28" s="48">
        <f>SUM(D4,D7,D11)</f>
        <v>2.5</v>
      </c>
      <c r="C28" s="72">
        <f>SUM(E4,E7,E11)</f>
        <v>3</v>
      </c>
      <c r="D28" s="89"/>
    </row>
    <row r="29" spans="1:4" ht="12.75" customHeight="1" thickBot="1" x14ac:dyDescent="0.3">
      <c r="A29" s="16" t="s">
        <v>11</v>
      </c>
      <c r="B29" s="40">
        <f>SUM(B25,B26,B27,B28)</f>
        <v>9</v>
      </c>
      <c r="C29" s="75">
        <f>SUM(C25,C26,C27,C28)</f>
        <v>10.5</v>
      </c>
      <c r="D29" s="91"/>
    </row>
  </sheetData>
  <mergeCells count="11">
    <mergeCell ref="C27:D27"/>
    <mergeCell ref="C28:D28"/>
    <mergeCell ref="C29:D29"/>
    <mergeCell ref="C26:D26"/>
    <mergeCell ref="C17:D17"/>
    <mergeCell ref="C18:D18"/>
    <mergeCell ref="C25:D25"/>
    <mergeCell ref="C21:D21"/>
    <mergeCell ref="C20:D20"/>
    <mergeCell ref="C19:D19"/>
    <mergeCell ref="C22:D22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Terminal&amp;CVorprojekt&amp;RDatum: 17.10.2018</oddHeader>
    <oddFooter>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25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3.28515625" style="6" customWidth="1"/>
    <col min="2" max="2" width="16" style="6" customWidth="1"/>
    <col min="3" max="3" width="14.28515625" style="6" customWidth="1"/>
    <col min="4" max="4" width="8.7109375" style="6" bestFit="1" customWidth="1"/>
    <col min="5" max="5" width="11.140625" style="6" customWidth="1"/>
    <col min="6" max="6" width="13.42578125" style="6" customWidth="1"/>
    <col min="7" max="7" width="54" style="6" customWidth="1"/>
    <col min="8" max="8" width="17.28515625" style="6" bestFit="1" customWidth="1"/>
    <col min="9" max="9" width="13.28515625" style="6" customWidth="1"/>
    <col min="10" max="16384" width="11.140625" style="6"/>
  </cols>
  <sheetData>
    <row r="1" spans="1:7" ht="12" thickBot="1" x14ac:dyDescent="0.25">
      <c r="A1" s="1" t="s">
        <v>13</v>
      </c>
      <c r="B1" s="27" t="s">
        <v>9</v>
      </c>
      <c r="C1" s="2" t="s">
        <v>1</v>
      </c>
      <c r="D1" s="3" t="s">
        <v>0</v>
      </c>
      <c r="E1" s="4" t="s">
        <v>35</v>
      </c>
      <c r="F1" s="4" t="s">
        <v>36</v>
      </c>
      <c r="G1" s="5" t="s">
        <v>10</v>
      </c>
    </row>
    <row r="2" spans="1:7" ht="12" thickBot="1" x14ac:dyDescent="0.25">
      <c r="A2" s="12" t="s">
        <v>20</v>
      </c>
      <c r="B2" s="13" t="s">
        <v>12</v>
      </c>
      <c r="C2" s="9" t="s">
        <v>54</v>
      </c>
      <c r="D2" s="10">
        <v>43363</v>
      </c>
      <c r="E2" s="60">
        <v>1</v>
      </c>
      <c r="F2" s="56">
        <v>1</v>
      </c>
      <c r="G2" s="11" t="s">
        <v>63</v>
      </c>
    </row>
    <row r="3" spans="1:7" ht="12" thickBot="1" x14ac:dyDescent="0.25">
      <c r="A3" s="12" t="s">
        <v>43</v>
      </c>
      <c r="B3" s="13" t="s">
        <v>14</v>
      </c>
      <c r="C3" s="9" t="s">
        <v>55</v>
      </c>
      <c r="D3" s="10">
        <v>43383</v>
      </c>
      <c r="E3" s="60">
        <v>1</v>
      </c>
      <c r="F3" s="56">
        <v>1</v>
      </c>
      <c r="G3" s="11" t="s">
        <v>64</v>
      </c>
    </row>
    <row r="4" spans="1:7" ht="12" thickBot="1" x14ac:dyDescent="0.25">
      <c r="A4" s="12" t="s">
        <v>58</v>
      </c>
      <c r="B4" s="13" t="s">
        <v>2</v>
      </c>
      <c r="C4" s="9" t="s">
        <v>56</v>
      </c>
      <c r="D4" s="10">
        <v>43384</v>
      </c>
      <c r="E4" s="60">
        <v>1</v>
      </c>
      <c r="F4" s="56">
        <v>1.5</v>
      </c>
      <c r="G4" s="11" t="s">
        <v>68</v>
      </c>
    </row>
    <row r="5" spans="1:7" ht="12" thickBot="1" x14ac:dyDescent="0.25">
      <c r="A5" s="12" t="s">
        <v>44</v>
      </c>
      <c r="B5" s="13" t="s">
        <v>14</v>
      </c>
      <c r="C5" s="9" t="s">
        <v>55</v>
      </c>
      <c r="D5" s="10">
        <v>43386</v>
      </c>
      <c r="E5" s="60">
        <v>0.5</v>
      </c>
      <c r="F5" s="56">
        <v>1</v>
      </c>
      <c r="G5" s="11" t="s">
        <v>67</v>
      </c>
    </row>
    <row r="6" spans="1:7" ht="12" thickBot="1" x14ac:dyDescent="0.25">
      <c r="A6" s="12" t="s">
        <v>20</v>
      </c>
      <c r="B6" s="13" t="s">
        <v>14</v>
      </c>
      <c r="C6" s="9" t="s">
        <v>55</v>
      </c>
      <c r="D6" s="10">
        <v>43387</v>
      </c>
      <c r="E6" s="60">
        <v>0.5</v>
      </c>
      <c r="F6" s="56">
        <v>1</v>
      </c>
      <c r="G6" s="11" t="s">
        <v>65</v>
      </c>
    </row>
    <row r="7" spans="1:7" ht="12" thickBot="1" x14ac:dyDescent="0.25">
      <c r="A7" s="12" t="s">
        <v>43</v>
      </c>
      <c r="B7" s="13" t="s">
        <v>12</v>
      </c>
      <c r="C7" s="9" t="s">
        <v>57</v>
      </c>
      <c r="D7" s="10">
        <v>43388</v>
      </c>
      <c r="E7" s="60">
        <v>1</v>
      </c>
      <c r="F7" s="56">
        <v>1</v>
      </c>
      <c r="G7" s="11" t="s">
        <v>66</v>
      </c>
    </row>
    <row r="8" spans="1:7" ht="12" thickBot="1" x14ac:dyDescent="0.25">
      <c r="A8" s="12" t="s">
        <v>58</v>
      </c>
      <c r="B8" s="13" t="s">
        <v>2</v>
      </c>
      <c r="C8" s="9" t="s">
        <v>56</v>
      </c>
      <c r="D8" s="10">
        <v>43389</v>
      </c>
      <c r="E8" s="60">
        <v>1</v>
      </c>
      <c r="F8" s="56">
        <v>0.5</v>
      </c>
      <c r="G8" s="11" t="s">
        <v>69</v>
      </c>
    </row>
    <row r="9" spans="1:7" ht="12" thickBot="1" x14ac:dyDescent="0.25">
      <c r="A9" s="14" t="s">
        <v>44</v>
      </c>
      <c r="B9" s="13" t="s">
        <v>59</v>
      </c>
      <c r="C9" s="9" t="s">
        <v>55</v>
      </c>
      <c r="D9" s="10">
        <v>43389</v>
      </c>
      <c r="E9" s="56">
        <v>0.5</v>
      </c>
      <c r="F9" s="56">
        <v>1</v>
      </c>
      <c r="G9" s="11" t="s">
        <v>60</v>
      </c>
    </row>
    <row r="10" spans="1:7" ht="12" thickBot="1" x14ac:dyDescent="0.25">
      <c r="A10" s="12" t="s">
        <v>43</v>
      </c>
      <c r="B10" s="16" t="s">
        <v>14</v>
      </c>
      <c r="C10" s="17" t="s">
        <v>61</v>
      </c>
      <c r="D10" s="18">
        <v>43390</v>
      </c>
      <c r="E10" s="55">
        <v>1</v>
      </c>
      <c r="F10" s="55">
        <v>1</v>
      </c>
      <c r="G10" s="19" t="s">
        <v>62</v>
      </c>
    </row>
    <row r="12" spans="1:7" ht="12" thickBot="1" x14ac:dyDescent="0.25"/>
    <row r="13" spans="1:7" ht="12" thickBot="1" x14ac:dyDescent="0.25">
      <c r="A13" s="32" t="s">
        <v>9</v>
      </c>
      <c r="B13" s="34" t="s">
        <v>37</v>
      </c>
      <c r="C13" s="79" t="s">
        <v>38</v>
      </c>
      <c r="D13" s="80"/>
    </row>
    <row r="14" spans="1:7" x14ac:dyDescent="0.2">
      <c r="A14" s="21" t="s">
        <v>42</v>
      </c>
      <c r="B14" s="43">
        <f>SUM(E2,E7)</f>
        <v>2</v>
      </c>
      <c r="C14" s="81">
        <f>SUM(F2,F7)</f>
        <v>2</v>
      </c>
      <c r="D14" s="83"/>
    </row>
    <row r="15" spans="1:7" x14ac:dyDescent="0.2">
      <c r="A15" s="13" t="s">
        <v>2</v>
      </c>
      <c r="B15" s="20">
        <f>SUM(E4,E8)</f>
        <v>2</v>
      </c>
      <c r="C15" s="74">
        <f>SUM(F4,F8)</f>
        <v>2</v>
      </c>
      <c r="D15" s="84"/>
    </row>
    <row r="16" spans="1:7" x14ac:dyDescent="0.2">
      <c r="A16" s="13" t="s">
        <v>3</v>
      </c>
      <c r="C16" s="84"/>
      <c r="D16" s="84"/>
    </row>
    <row r="17" spans="1:4" x14ac:dyDescent="0.2">
      <c r="A17" s="8" t="s">
        <v>14</v>
      </c>
      <c r="B17" s="20">
        <f>SUM(E3,E5,E6,E9,E10)</f>
        <v>3.5</v>
      </c>
      <c r="C17" s="73">
        <f>SUM(F3,F5,F6,F9,F10)</f>
        <v>5</v>
      </c>
      <c r="D17" s="84"/>
    </row>
    <row r="18" spans="1:4" ht="12" thickBot="1" x14ac:dyDescent="0.25">
      <c r="A18" s="31" t="s">
        <v>11</v>
      </c>
      <c r="B18" s="40">
        <f>SUM(B14,B15,B16,B17)</f>
        <v>7.5</v>
      </c>
      <c r="C18" s="75">
        <f>SUM(C14,C15,C16,C17)</f>
        <v>9</v>
      </c>
      <c r="D18" s="85"/>
    </row>
    <row r="19" spans="1:4" ht="12" thickBot="1" x14ac:dyDescent="0.25"/>
    <row r="20" spans="1:4" ht="12" thickBot="1" x14ac:dyDescent="0.25">
      <c r="A20" s="32" t="s">
        <v>13</v>
      </c>
      <c r="B20" s="34" t="s">
        <v>37</v>
      </c>
      <c r="C20" s="79" t="s">
        <v>38</v>
      </c>
      <c r="D20" s="80"/>
    </row>
    <row r="21" spans="1:4" x14ac:dyDescent="0.2">
      <c r="A21" s="13" t="s">
        <v>19</v>
      </c>
      <c r="B21" s="20">
        <f>SUM(E4,E8)</f>
        <v>2</v>
      </c>
      <c r="C21" s="81">
        <f>SUM(F4,F8)</f>
        <v>2</v>
      </c>
      <c r="D21" s="83"/>
    </row>
    <row r="22" spans="1:4" x14ac:dyDescent="0.2">
      <c r="A22" s="13" t="s">
        <v>43</v>
      </c>
      <c r="B22" s="20">
        <f>SUM(E3,E7)</f>
        <v>2</v>
      </c>
      <c r="C22" s="73">
        <f>SUM(F3,F7)</f>
        <v>2</v>
      </c>
      <c r="D22" s="84"/>
    </row>
    <row r="23" spans="1:4" ht="12" customHeight="1" x14ac:dyDescent="0.25">
      <c r="A23" s="13" t="s">
        <v>44</v>
      </c>
      <c r="B23" s="20">
        <f>SUM(E5,E9)</f>
        <v>1</v>
      </c>
      <c r="C23" s="73">
        <f>SUM(F9,F5)</f>
        <v>2</v>
      </c>
      <c r="D23" s="86"/>
    </row>
    <row r="24" spans="1:4" x14ac:dyDescent="0.2">
      <c r="A24" s="13" t="s">
        <v>20</v>
      </c>
      <c r="B24" s="20">
        <f>SUM(E2,E6)</f>
        <v>1.5</v>
      </c>
      <c r="C24" s="73">
        <f>SUM(F2,F6)</f>
        <v>2</v>
      </c>
      <c r="D24" s="84"/>
    </row>
    <row r="25" spans="1:4" ht="12" thickBot="1" x14ac:dyDescent="0.25">
      <c r="A25" s="31" t="s">
        <v>11</v>
      </c>
      <c r="B25" s="40">
        <f>SUM(B21,B22,B23,B24)</f>
        <v>6.5</v>
      </c>
      <c r="C25" s="75">
        <f>SUM(C21,C22,C23,C24)</f>
        <v>8</v>
      </c>
      <c r="D25" s="85"/>
    </row>
  </sheetData>
  <mergeCells count="12">
    <mergeCell ref="C21:D21"/>
    <mergeCell ref="C22:D22"/>
    <mergeCell ref="C24:D24"/>
    <mergeCell ref="C25:D25"/>
    <mergeCell ref="C13:D13"/>
    <mergeCell ref="C15:D15"/>
    <mergeCell ref="C16:D16"/>
    <mergeCell ref="C17:D17"/>
    <mergeCell ref="C18:D18"/>
    <mergeCell ref="C20:D20"/>
    <mergeCell ref="C14:D14"/>
    <mergeCell ref="C23:D23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Terminal&amp;CProjektmanagment&amp;RDatum: 17.10.2018</oddHeader>
    <oddFooter>&amp;CSeite 2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G31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5.28515625" style="6" customWidth="1"/>
    <col min="2" max="2" width="16" style="6" customWidth="1"/>
    <col min="3" max="3" width="20.5703125" style="6" customWidth="1"/>
    <col min="4" max="4" width="7.7109375" style="6" bestFit="1" customWidth="1"/>
    <col min="5" max="5" width="10.140625" style="20" customWidth="1"/>
    <col min="6" max="6" width="12.42578125" style="6" customWidth="1"/>
    <col min="7" max="7" width="48.7109375" style="6" customWidth="1"/>
    <col min="8" max="8" width="17.42578125" style="6" bestFit="1" customWidth="1"/>
    <col min="9" max="9" width="11.140625" style="6"/>
    <col min="10" max="10" width="13.42578125" style="6" customWidth="1"/>
    <col min="11" max="16384" width="11.140625" style="6"/>
  </cols>
  <sheetData>
    <row r="1" spans="1:7" ht="12" thickBot="1" x14ac:dyDescent="0.25">
      <c r="A1" s="12" t="s">
        <v>13</v>
      </c>
      <c r="B1" s="27" t="s">
        <v>9</v>
      </c>
      <c r="C1" s="4" t="s">
        <v>1</v>
      </c>
      <c r="D1" s="4" t="s">
        <v>0</v>
      </c>
      <c r="E1" s="57" t="s">
        <v>35</v>
      </c>
      <c r="F1" s="4" t="s">
        <v>36</v>
      </c>
      <c r="G1" s="5" t="s">
        <v>10</v>
      </c>
    </row>
    <row r="2" spans="1:7" ht="12" thickBot="1" x14ac:dyDescent="0.25">
      <c r="A2" s="12"/>
      <c r="B2" s="9"/>
      <c r="C2" s="9"/>
      <c r="D2" s="10"/>
      <c r="E2" s="60"/>
      <c r="F2" s="56"/>
      <c r="G2" s="23"/>
    </row>
    <row r="3" spans="1:7" ht="12" thickBot="1" x14ac:dyDescent="0.25">
      <c r="A3" s="12"/>
      <c r="B3" s="9"/>
      <c r="C3" s="9"/>
      <c r="D3" s="10"/>
      <c r="E3" s="60"/>
      <c r="F3" s="56"/>
      <c r="G3" s="23"/>
    </row>
    <row r="4" spans="1:7" ht="12" thickBot="1" x14ac:dyDescent="0.25">
      <c r="A4" s="12"/>
      <c r="B4" s="9"/>
      <c r="C4" s="9"/>
      <c r="D4" s="10"/>
      <c r="E4" s="60"/>
      <c r="F4" s="56"/>
      <c r="G4" s="23"/>
    </row>
    <row r="5" spans="1:7" ht="12" thickBot="1" x14ac:dyDescent="0.25">
      <c r="A5" s="12"/>
      <c r="B5" s="15"/>
      <c r="C5" s="9"/>
      <c r="D5" s="10"/>
      <c r="E5" s="60"/>
      <c r="F5" s="56"/>
      <c r="G5" s="23"/>
    </row>
    <row r="6" spans="1:7" ht="12" thickBot="1" x14ac:dyDescent="0.25">
      <c r="A6" s="12"/>
      <c r="B6" s="17"/>
      <c r="C6" s="17"/>
      <c r="D6" s="18"/>
      <c r="E6" s="55"/>
      <c r="F6" s="55"/>
      <c r="G6" s="25"/>
    </row>
    <row r="8" spans="1:7" ht="12" thickBot="1" x14ac:dyDescent="0.25"/>
    <row r="9" spans="1:7" ht="12" thickBot="1" x14ac:dyDescent="0.25">
      <c r="A9" s="32" t="s">
        <v>9</v>
      </c>
      <c r="B9" s="34" t="s">
        <v>37</v>
      </c>
      <c r="C9" s="33" t="s">
        <v>38</v>
      </c>
    </row>
    <row r="10" spans="1:7" x14ac:dyDescent="0.2">
      <c r="A10" s="13" t="s">
        <v>31</v>
      </c>
      <c r="B10" s="20"/>
      <c r="C10" s="28"/>
    </row>
    <row r="11" spans="1:7" x14ac:dyDescent="0.2">
      <c r="A11" s="13" t="s">
        <v>29</v>
      </c>
      <c r="B11" s="20"/>
      <c r="C11" s="28"/>
      <c r="F11" s="20"/>
    </row>
    <row r="12" spans="1:7" x14ac:dyDescent="0.2">
      <c r="A12" s="30" t="s">
        <v>4</v>
      </c>
      <c r="B12" s="20"/>
      <c r="C12" s="28"/>
    </row>
    <row r="13" spans="1:7" ht="12" thickBot="1" x14ac:dyDescent="0.25">
      <c r="A13" s="16" t="s">
        <v>11</v>
      </c>
      <c r="B13" s="40"/>
      <c r="C13" s="29"/>
    </row>
    <row r="14" spans="1:7" ht="12" thickBot="1" x14ac:dyDescent="0.25">
      <c r="B14" s="20"/>
      <c r="C14" s="20"/>
    </row>
    <row r="15" spans="1:7" ht="12" thickBot="1" x14ac:dyDescent="0.25">
      <c r="A15" s="32" t="s">
        <v>13</v>
      </c>
      <c r="B15" s="45" t="s">
        <v>37</v>
      </c>
      <c r="C15" s="35" t="s">
        <v>38</v>
      </c>
    </row>
    <row r="16" spans="1:7" x14ac:dyDescent="0.2">
      <c r="A16" s="13" t="s">
        <v>19</v>
      </c>
      <c r="B16" s="20"/>
      <c r="C16" s="28"/>
    </row>
    <row r="17" spans="1:3" x14ac:dyDescent="0.2">
      <c r="A17" s="13" t="s">
        <v>43</v>
      </c>
      <c r="B17" s="20"/>
      <c r="C17" s="28"/>
    </row>
    <row r="18" spans="1:3" x14ac:dyDescent="0.2">
      <c r="A18" s="13" t="s">
        <v>44</v>
      </c>
      <c r="B18" s="20"/>
      <c r="C18" s="28"/>
    </row>
    <row r="19" spans="1:3" x14ac:dyDescent="0.2">
      <c r="A19" s="13" t="s">
        <v>20</v>
      </c>
      <c r="B19" s="20"/>
      <c r="C19" s="28"/>
    </row>
    <row r="20" spans="1:3" ht="12" thickBot="1" x14ac:dyDescent="0.25">
      <c r="A20" s="31" t="s">
        <v>11</v>
      </c>
      <c r="B20" s="40"/>
      <c r="C20" s="29"/>
    </row>
    <row r="21" spans="1:3" x14ac:dyDescent="0.2">
      <c r="A21" s="9"/>
      <c r="B21" s="9"/>
    </row>
    <row r="22" spans="1:3" x14ac:dyDescent="0.2">
      <c r="A22" s="9"/>
      <c r="B22" s="9"/>
    </row>
    <row r="23" spans="1:3" x14ac:dyDescent="0.2">
      <c r="A23" s="9"/>
      <c r="B23" s="9"/>
    </row>
    <row r="24" spans="1:3" x14ac:dyDescent="0.2">
      <c r="A24" s="9"/>
      <c r="B24" s="9"/>
    </row>
    <row r="25" spans="1:3" x14ac:dyDescent="0.2">
      <c r="A25" s="9"/>
      <c r="B25" s="9"/>
    </row>
    <row r="26" spans="1:3" x14ac:dyDescent="0.2">
      <c r="A26" s="9"/>
      <c r="B26" s="9"/>
    </row>
    <row r="29" spans="1:3" x14ac:dyDescent="0.2">
      <c r="A29" s="9"/>
      <c r="B29" s="9"/>
    </row>
    <row r="30" spans="1:3" x14ac:dyDescent="0.2">
      <c r="A30" s="9"/>
      <c r="B30" s="9"/>
    </row>
    <row r="31" spans="1:3" x14ac:dyDescent="0.2">
      <c r="A31" s="9"/>
      <c r="B31" s="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Terminal&amp;CGrobentwicklung&amp;RDatum: 17.10.2018</oddHeader>
    <oddFooter>&amp;CSeite 3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G27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2" width="21.28515625" style="6" bestFit="1" customWidth="1"/>
    <col min="3" max="3" width="27.28515625" style="6" bestFit="1" customWidth="1"/>
    <col min="4" max="4" width="7.7109375" style="6" bestFit="1" customWidth="1"/>
    <col min="5" max="5" width="11.42578125" style="26" bestFit="1" customWidth="1"/>
    <col min="6" max="6" width="14" style="6" bestFit="1" customWidth="1"/>
    <col min="7" max="7" width="27.85546875" style="6" customWidth="1"/>
    <col min="8" max="8" width="24.28515625" style="6" bestFit="1" customWidth="1"/>
    <col min="9" max="16384" width="11.140625" style="6"/>
  </cols>
  <sheetData>
    <row r="1" spans="1:7" ht="12" thickBot="1" x14ac:dyDescent="0.25">
      <c r="A1" s="12" t="s">
        <v>13</v>
      </c>
      <c r="B1" s="27" t="s">
        <v>9</v>
      </c>
      <c r="C1" s="27" t="s">
        <v>1</v>
      </c>
      <c r="D1" s="4" t="s">
        <v>0</v>
      </c>
      <c r="E1" s="22" t="s">
        <v>35</v>
      </c>
      <c r="F1" s="22" t="s">
        <v>36</v>
      </c>
      <c r="G1" s="5" t="s">
        <v>10</v>
      </c>
    </row>
    <row r="2" spans="1:7" ht="12" thickBot="1" x14ac:dyDescent="0.25">
      <c r="A2" s="12"/>
      <c r="B2" s="9"/>
      <c r="C2" s="9"/>
      <c r="D2" s="10"/>
      <c r="E2" s="62"/>
      <c r="F2" s="63"/>
      <c r="G2" s="23"/>
    </row>
    <row r="3" spans="1:7" ht="12" thickBot="1" x14ac:dyDescent="0.25">
      <c r="A3" s="12"/>
      <c r="B3" s="9"/>
      <c r="C3" s="9"/>
      <c r="D3" s="10"/>
      <c r="E3" s="62"/>
      <c r="F3" s="63"/>
      <c r="G3" s="23"/>
    </row>
    <row r="4" spans="1:7" ht="12" thickBot="1" x14ac:dyDescent="0.25">
      <c r="A4" s="12"/>
      <c r="B4" s="9"/>
      <c r="C4" s="9"/>
      <c r="D4" s="10"/>
      <c r="E4" s="62"/>
      <c r="F4" s="63"/>
      <c r="G4" s="11"/>
    </row>
    <row r="5" spans="1:7" ht="12" thickBot="1" x14ac:dyDescent="0.25">
      <c r="A5" s="12"/>
      <c r="B5" s="9"/>
      <c r="C5" s="9"/>
      <c r="D5" s="10"/>
      <c r="E5" s="62"/>
      <c r="F5" s="63"/>
      <c r="G5" s="11"/>
    </row>
    <row r="6" spans="1:7" ht="12" thickBot="1" x14ac:dyDescent="0.25">
      <c r="A6" s="12"/>
      <c r="B6" s="9"/>
      <c r="C6" s="9"/>
      <c r="D6" s="10"/>
      <c r="E6" s="62"/>
      <c r="F6" s="63"/>
      <c r="G6" s="11"/>
    </row>
    <row r="7" spans="1:7" ht="12" thickBot="1" x14ac:dyDescent="0.25">
      <c r="A7" s="12"/>
      <c r="B7" s="9"/>
      <c r="C7" s="9"/>
      <c r="D7" s="10"/>
      <c r="E7" s="62"/>
      <c r="F7" s="63"/>
      <c r="G7" s="11"/>
    </row>
    <row r="8" spans="1:7" ht="12" thickBot="1" x14ac:dyDescent="0.25">
      <c r="A8" s="12"/>
      <c r="B8" s="9"/>
      <c r="C8" s="9"/>
      <c r="D8" s="10"/>
      <c r="E8" s="62"/>
      <c r="F8" s="63"/>
      <c r="G8" s="11"/>
    </row>
    <row r="9" spans="1:7" ht="12" thickBot="1" x14ac:dyDescent="0.25">
      <c r="A9" s="12"/>
      <c r="B9" s="9"/>
      <c r="C9" s="9"/>
      <c r="D9" s="10"/>
      <c r="E9" s="62"/>
      <c r="F9" s="63"/>
      <c r="G9" s="11"/>
    </row>
    <row r="10" spans="1:7" ht="12" thickBot="1" x14ac:dyDescent="0.25">
      <c r="A10" s="12"/>
      <c r="B10" s="9"/>
      <c r="C10" s="9"/>
      <c r="D10" s="10"/>
      <c r="E10" s="62"/>
      <c r="F10" s="63"/>
      <c r="G10" s="11"/>
    </row>
    <row r="11" spans="1:7" ht="12" thickBot="1" x14ac:dyDescent="0.25">
      <c r="A11" s="12"/>
      <c r="B11" s="9"/>
      <c r="C11" s="9"/>
      <c r="D11" s="10"/>
      <c r="E11" s="62"/>
      <c r="F11" s="63"/>
      <c r="G11" s="11"/>
    </row>
    <row r="12" spans="1:7" ht="12" thickBot="1" x14ac:dyDescent="0.25">
      <c r="A12" s="12"/>
      <c r="B12" s="9"/>
      <c r="C12" s="9"/>
      <c r="D12" s="10"/>
      <c r="E12" s="62"/>
      <c r="F12" s="63"/>
      <c r="G12" s="11"/>
    </row>
    <row r="13" spans="1:7" ht="12" thickBot="1" x14ac:dyDescent="0.25">
      <c r="A13" s="12"/>
      <c r="B13" s="17"/>
      <c r="C13" s="17"/>
      <c r="D13" s="18"/>
      <c r="E13" s="64"/>
      <c r="F13" s="64"/>
      <c r="G13" s="19"/>
    </row>
    <row r="15" spans="1:7" ht="12" thickBot="1" x14ac:dyDescent="0.25"/>
    <row r="16" spans="1:7" ht="12" thickBot="1" x14ac:dyDescent="0.25">
      <c r="A16" s="32" t="s">
        <v>9</v>
      </c>
      <c r="B16" s="34" t="s">
        <v>37</v>
      </c>
      <c r="C16" s="33" t="s">
        <v>38</v>
      </c>
    </row>
    <row r="17" spans="1:3" x14ac:dyDescent="0.2">
      <c r="A17" s="30" t="s">
        <v>6</v>
      </c>
      <c r="B17" s="26"/>
      <c r="C17" s="38"/>
    </row>
    <row r="18" spans="1:3" x14ac:dyDescent="0.2">
      <c r="A18" s="13" t="s">
        <v>32</v>
      </c>
      <c r="B18" s="26"/>
      <c r="C18" s="38"/>
    </row>
    <row r="19" spans="1:3" x14ac:dyDescent="0.2">
      <c r="A19" s="13" t="s">
        <v>33</v>
      </c>
      <c r="B19" s="26"/>
      <c r="C19" s="38"/>
    </row>
    <row r="20" spans="1:3" ht="12" thickBot="1" x14ac:dyDescent="0.25">
      <c r="A20" s="16" t="s">
        <v>11</v>
      </c>
      <c r="B20" s="24"/>
      <c r="C20" s="29"/>
    </row>
    <row r="21" spans="1:3" ht="12" thickBot="1" x14ac:dyDescent="0.25">
      <c r="A21" s="9"/>
      <c r="C21" s="9"/>
    </row>
    <row r="22" spans="1:3" ht="12" thickBot="1" x14ac:dyDescent="0.25">
      <c r="A22" s="32" t="s">
        <v>13</v>
      </c>
      <c r="B22" s="34" t="s">
        <v>37</v>
      </c>
      <c r="C22" s="33" t="s">
        <v>38</v>
      </c>
    </row>
    <row r="23" spans="1:3" x14ac:dyDescent="0.2">
      <c r="A23" s="13" t="s">
        <v>19</v>
      </c>
      <c r="B23" s="26"/>
      <c r="C23" s="38"/>
    </row>
    <row r="24" spans="1:3" x14ac:dyDescent="0.2">
      <c r="A24" s="13" t="s">
        <v>43</v>
      </c>
      <c r="B24" s="26"/>
      <c r="C24" s="38"/>
    </row>
    <row r="25" spans="1:3" x14ac:dyDescent="0.2">
      <c r="A25" s="13" t="s">
        <v>44</v>
      </c>
      <c r="B25" s="26"/>
      <c r="C25" s="38"/>
    </row>
    <row r="26" spans="1:3" x14ac:dyDescent="0.2">
      <c r="A26" s="13" t="s">
        <v>20</v>
      </c>
      <c r="B26" s="26"/>
      <c r="C26" s="38"/>
    </row>
    <row r="27" spans="1:3" ht="12" thickBot="1" x14ac:dyDescent="0.25">
      <c r="A27" s="31" t="s">
        <v>11</v>
      </c>
      <c r="B27" s="24"/>
      <c r="C27" s="29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Terminal&amp;CFeinentwicklung&amp;RDatum: 17.10.2018</oddHeader>
    <oddFooter>&amp;CSeite 4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G34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2.140625" style="6" customWidth="1"/>
    <col min="2" max="2" width="18.140625" style="6" customWidth="1"/>
    <col min="3" max="3" width="12.42578125" style="6" customWidth="1"/>
    <col min="4" max="4" width="7.7109375" style="6" bestFit="1" customWidth="1"/>
    <col min="5" max="5" width="9.7109375" style="6" customWidth="1"/>
    <col min="6" max="6" width="15.85546875" style="6" customWidth="1"/>
    <col min="7" max="7" width="42.5703125" style="6" customWidth="1"/>
    <col min="8" max="8" width="16.140625" style="6" bestFit="1" customWidth="1"/>
    <col min="9" max="16384" width="11.140625" style="6"/>
  </cols>
  <sheetData>
    <row r="1" spans="1:7" x14ac:dyDescent="0.2">
      <c r="A1" s="1" t="s">
        <v>13</v>
      </c>
      <c r="B1" s="59" t="s">
        <v>9</v>
      </c>
      <c r="C1" s="4" t="s">
        <v>1</v>
      </c>
      <c r="D1" s="27" t="s">
        <v>0</v>
      </c>
      <c r="E1" s="4" t="s">
        <v>35</v>
      </c>
      <c r="F1" s="4" t="s">
        <v>36</v>
      </c>
      <c r="G1" s="5" t="s">
        <v>10</v>
      </c>
    </row>
    <row r="2" spans="1:7" ht="12" thickBot="1" x14ac:dyDescent="0.25">
      <c r="A2" s="7"/>
      <c r="B2" s="9"/>
      <c r="C2" s="9"/>
      <c r="D2" s="10"/>
      <c r="E2" s="60"/>
      <c r="F2" s="56"/>
      <c r="G2" s="23"/>
    </row>
    <row r="3" spans="1:7" ht="12" thickBot="1" x14ac:dyDescent="0.25">
      <c r="A3" s="12"/>
      <c r="B3" s="9"/>
      <c r="C3" s="9"/>
      <c r="D3" s="10"/>
      <c r="E3" s="60"/>
      <c r="F3" s="56"/>
      <c r="G3" s="23"/>
    </row>
    <row r="4" spans="1:7" ht="12" thickBot="1" x14ac:dyDescent="0.25">
      <c r="A4" s="12"/>
      <c r="B4" s="9"/>
      <c r="C4" s="9"/>
      <c r="D4" s="10"/>
      <c r="E4" s="60"/>
      <c r="F4" s="56"/>
      <c r="G4" s="23"/>
    </row>
    <row r="5" spans="1:7" ht="12" thickBot="1" x14ac:dyDescent="0.25">
      <c r="A5" s="12"/>
      <c r="B5" s="9"/>
      <c r="C5" s="9"/>
      <c r="D5" s="10"/>
      <c r="E5" s="60"/>
      <c r="F5" s="56"/>
      <c r="G5" s="23"/>
    </row>
    <row r="6" spans="1:7" ht="12" thickBot="1" x14ac:dyDescent="0.25">
      <c r="A6" s="12"/>
      <c r="B6" s="9"/>
      <c r="C6" s="9"/>
      <c r="D6" s="10"/>
      <c r="E6" s="60"/>
      <c r="F6" s="56"/>
      <c r="G6" s="23"/>
    </row>
    <row r="7" spans="1:7" ht="12" thickBot="1" x14ac:dyDescent="0.25">
      <c r="A7" s="12"/>
      <c r="B7" s="15"/>
      <c r="C7" s="9"/>
      <c r="D7" s="10"/>
      <c r="E7" s="60"/>
      <c r="F7" s="56"/>
      <c r="G7" s="23"/>
    </row>
    <row r="8" spans="1:7" ht="12" thickBot="1" x14ac:dyDescent="0.25">
      <c r="A8" s="12"/>
      <c r="B8" s="9"/>
      <c r="C8" s="9"/>
      <c r="D8" s="10"/>
      <c r="E8" s="60"/>
      <c r="F8" s="56"/>
      <c r="G8" s="23"/>
    </row>
    <row r="9" spans="1:7" ht="12" thickBot="1" x14ac:dyDescent="0.25">
      <c r="A9" s="12"/>
      <c r="B9" s="9"/>
      <c r="C9" s="9"/>
      <c r="D9" s="10"/>
      <c r="E9" s="60"/>
      <c r="F9" s="56"/>
      <c r="G9" s="23"/>
    </row>
    <row r="10" spans="1:7" ht="12" thickBot="1" x14ac:dyDescent="0.25">
      <c r="A10" s="12"/>
      <c r="B10" s="15"/>
      <c r="C10" s="9"/>
      <c r="D10" s="10"/>
      <c r="E10" s="60"/>
      <c r="F10" s="56"/>
      <c r="G10" s="23"/>
    </row>
    <row r="11" spans="1:7" ht="12" thickBot="1" x14ac:dyDescent="0.25">
      <c r="A11" s="12"/>
      <c r="B11" s="9"/>
      <c r="C11" s="9"/>
      <c r="D11" s="10"/>
      <c r="E11" s="60"/>
      <c r="F11" s="56"/>
      <c r="G11" s="37"/>
    </row>
    <row r="12" spans="1:7" ht="12" thickBot="1" x14ac:dyDescent="0.25">
      <c r="A12" s="14"/>
      <c r="B12" s="9"/>
      <c r="C12" s="9"/>
      <c r="D12" s="10"/>
      <c r="E12" s="56"/>
      <c r="F12" s="56"/>
      <c r="G12" s="23"/>
    </row>
    <row r="13" spans="1:7" ht="12" thickBot="1" x14ac:dyDescent="0.25">
      <c r="A13" s="12"/>
      <c r="B13" s="9"/>
      <c r="C13" s="9"/>
      <c r="D13" s="10"/>
      <c r="E13" s="56"/>
      <c r="F13" s="56"/>
      <c r="G13" s="11"/>
    </row>
    <row r="14" spans="1:7" ht="12" thickBot="1" x14ac:dyDescent="0.25">
      <c r="A14" s="12"/>
      <c r="B14" s="15"/>
      <c r="C14" s="9"/>
      <c r="D14" s="10"/>
      <c r="E14" s="60"/>
      <c r="F14" s="56"/>
      <c r="G14" s="23"/>
    </row>
    <row r="15" spans="1:7" ht="12" thickBot="1" x14ac:dyDescent="0.25">
      <c r="A15" s="12"/>
      <c r="B15" s="9"/>
      <c r="C15" s="9"/>
      <c r="D15" s="10"/>
      <c r="E15" s="56"/>
      <c r="F15" s="56"/>
      <c r="G15" s="11"/>
    </row>
    <row r="16" spans="1:7" ht="12" thickBot="1" x14ac:dyDescent="0.25">
      <c r="A16" s="12"/>
      <c r="B16" s="9"/>
      <c r="C16" s="9"/>
      <c r="D16" s="10"/>
      <c r="E16" s="56"/>
      <c r="F16" s="56"/>
      <c r="G16" s="11"/>
    </row>
    <row r="17" spans="1:7" ht="12" thickBot="1" x14ac:dyDescent="0.25">
      <c r="A17" s="12"/>
      <c r="B17" s="9"/>
      <c r="C17" s="9"/>
      <c r="D17" s="10"/>
      <c r="E17" s="56"/>
      <c r="F17" s="56"/>
      <c r="G17" s="11"/>
    </row>
    <row r="18" spans="1:7" ht="12" thickBot="1" x14ac:dyDescent="0.25">
      <c r="A18" s="12"/>
      <c r="B18" s="17"/>
      <c r="C18" s="17"/>
      <c r="D18" s="18"/>
      <c r="E18" s="55"/>
      <c r="F18" s="55"/>
      <c r="G18" s="19"/>
    </row>
    <row r="20" spans="1:7" ht="12" thickBot="1" x14ac:dyDescent="0.25"/>
    <row r="21" spans="1:7" ht="12" thickBot="1" x14ac:dyDescent="0.25">
      <c r="A21" s="32" t="s">
        <v>9</v>
      </c>
      <c r="B21" s="34" t="s">
        <v>37</v>
      </c>
      <c r="C21" s="79" t="s">
        <v>38</v>
      </c>
      <c r="D21" s="80"/>
    </row>
    <row r="22" spans="1:7" x14ac:dyDescent="0.2">
      <c r="A22" s="30" t="s">
        <v>39</v>
      </c>
      <c r="B22" s="20"/>
      <c r="C22" s="74"/>
      <c r="D22" s="74"/>
    </row>
    <row r="23" spans="1:7" x14ac:dyDescent="0.2">
      <c r="A23" s="13" t="s">
        <v>40</v>
      </c>
      <c r="B23" s="20"/>
      <c r="C23" s="73"/>
      <c r="D23" s="74"/>
    </row>
    <row r="24" spans="1:7" x14ac:dyDescent="0.2">
      <c r="A24" s="13" t="s">
        <v>41</v>
      </c>
      <c r="B24" s="20"/>
      <c r="C24" s="73"/>
      <c r="D24" s="74"/>
    </row>
    <row r="25" spans="1:7" x14ac:dyDescent="0.2">
      <c r="A25" s="13" t="s">
        <v>7</v>
      </c>
      <c r="B25" s="20"/>
      <c r="C25" s="73"/>
      <c r="D25" s="74"/>
    </row>
    <row r="26" spans="1:7" x14ac:dyDescent="0.2">
      <c r="A26" s="13" t="s">
        <v>8</v>
      </c>
      <c r="B26" s="20"/>
      <c r="C26" s="73"/>
      <c r="D26" s="74"/>
    </row>
    <row r="27" spans="1:7" ht="12" thickBot="1" x14ac:dyDescent="0.25">
      <c r="A27" s="16" t="s">
        <v>11</v>
      </c>
      <c r="B27" s="40"/>
      <c r="C27" s="75"/>
      <c r="D27" s="76"/>
    </row>
    <row r="28" spans="1:7" ht="12" thickBot="1" x14ac:dyDescent="0.25">
      <c r="A28" s="9"/>
      <c r="B28" s="48"/>
      <c r="C28" s="54"/>
      <c r="D28" s="54"/>
    </row>
    <row r="29" spans="1:7" ht="11.25" customHeight="1" thickBot="1" x14ac:dyDescent="0.25">
      <c r="A29" s="32" t="s">
        <v>13</v>
      </c>
      <c r="B29" s="45" t="s">
        <v>37</v>
      </c>
      <c r="C29" s="77" t="s">
        <v>38</v>
      </c>
      <c r="D29" s="78"/>
    </row>
    <row r="30" spans="1:7" x14ac:dyDescent="0.2">
      <c r="A30" s="21" t="s">
        <v>19</v>
      </c>
      <c r="B30" s="43"/>
      <c r="C30" s="81"/>
      <c r="D30" s="82"/>
    </row>
    <row r="31" spans="1:7" x14ac:dyDescent="0.2">
      <c r="A31" s="13" t="s">
        <v>43</v>
      </c>
      <c r="B31" s="48"/>
      <c r="C31" s="73"/>
      <c r="D31" s="74"/>
    </row>
    <row r="32" spans="1:7" x14ac:dyDescent="0.2">
      <c r="A32" s="13" t="s">
        <v>44</v>
      </c>
      <c r="B32" s="48"/>
      <c r="C32" s="70"/>
      <c r="D32" s="69"/>
    </row>
    <row r="33" spans="1:4" x14ac:dyDescent="0.2">
      <c r="A33" s="13" t="s">
        <v>20</v>
      </c>
      <c r="B33" s="48"/>
      <c r="C33" s="73"/>
      <c r="D33" s="74"/>
    </row>
    <row r="34" spans="1:4" ht="12" thickBot="1" x14ac:dyDescent="0.25">
      <c r="A34" s="16" t="s">
        <v>11</v>
      </c>
      <c r="B34" s="40"/>
      <c r="C34" s="75"/>
      <c r="D34" s="76"/>
    </row>
  </sheetData>
  <mergeCells count="12">
    <mergeCell ref="C33:D33"/>
    <mergeCell ref="C34:D34"/>
    <mergeCell ref="C31:D31"/>
    <mergeCell ref="C21:D21"/>
    <mergeCell ref="C22:D22"/>
    <mergeCell ref="C23:D23"/>
    <mergeCell ref="C30:D30"/>
    <mergeCell ref="C25:D25"/>
    <mergeCell ref="C24:D24"/>
    <mergeCell ref="C29:D29"/>
    <mergeCell ref="C26:D26"/>
    <mergeCell ref="C27:D27"/>
  </mergeCells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Terminal&amp;CTests und Abnahme&amp;RDatum: 17.10.2018</oddHeader>
    <oddFooter>&amp;CSeite 5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D30"/>
  <sheetViews>
    <sheetView tabSelected="1" zoomScaleNormal="100" workbookViewId="0">
      <selection activeCell="F22" sqref="F22"/>
    </sheetView>
  </sheetViews>
  <sheetFormatPr defaultColWidth="11.140625" defaultRowHeight="11.25" x14ac:dyDescent="0.2"/>
  <cols>
    <col min="1" max="1" width="17.7109375" style="20" bestFit="1" customWidth="1"/>
    <col min="2" max="2" width="32.7109375" style="20" bestFit="1" customWidth="1"/>
    <col min="3" max="3" width="11.42578125" style="20" bestFit="1" customWidth="1"/>
    <col min="4" max="4" width="14" style="20" bestFit="1" customWidth="1"/>
    <col min="5" max="5" width="11.140625" style="20"/>
    <col min="6" max="6" width="51.7109375" style="20" customWidth="1"/>
    <col min="7" max="16384" width="11.140625" style="20"/>
  </cols>
  <sheetData>
    <row r="1" spans="1:4" ht="12" thickBot="1" x14ac:dyDescent="0.25">
      <c r="A1" s="42"/>
      <c r="B1" s="58"/>
      <c r="C1" s="50" t="s">
        <v>35</v>
      </c>
      <c r="D1" s="36" t="s">
        <v>36</v>
      </c>
    </row>
    <row r="2" spans="1:4" ht="12" thickBot="1" x14ac:dyDescent="0.25">
      <c r="A2" s="44" t="s">
        <v>15</v>
      </c>
      <c r="B2" s="45"/>
      <c r="C2" s="46"/>
      <c r="D2" s="65"/>
    </row>
    <row r="3" spans="1:4" x14ac:dyDescent="0.2">
      <c r="A3" s="47"/>
      <c r="B3" s="48" t="s">
        <v>12</v>
      </c>
      <c r="C3" s="66"/>
      <c r="D3" s="52"/>
    </row>
    <row r="4" spans="1:4" x14ac:dyDescent="0.2">
      <c r="A4" s="47"/>
      <c r="B4" s="48" t="s">
        <v>2</v>
      </c>
      <c r="C4" s="67"/>
      <c r="D4" s="52"/>
    </row>
    <row r="5" spans="1:4" x14ac:dyDescent="0.2">
      <c r="A5" s="47"/>
      <c r="B5" s="48" t="s">
        <v>3</v>
      </c>
      <c r="C5" s="67"/>
      <c r="D5" s="52"/>
    </row>
    <row r="6" spans="1:4" ht="12" thickBot="1" x14ac:dyDescent="0.25">
      <c r="A6" s="47"/>
      <c r="B6" s="49" t="s">
        <v>14</v>
      </c>
      <c r="C6" s="68"/>
      <c r="D6" s="52"/>
    </row>
    <row r="7" spans="1:4" ht="12" thickBot="1" x14ac:dyDescent="0.25">
      <c r="A7" s="44" t="s">
        <v>16</v>
      </c>
      <c r="B7" s="45"/>
      <c r="C7" s="46"/>
      <c r="D7" s="65"/>
    </row>
    <row r="8" spans="1:4" x14ac:dyDescent="0.2">
      <c r="A8" s="47"/>
      <c r="B8" s="48" t="s">
        <v>29</v>
      </c>
      <c r="C8" s="66"/>
      <c r="D8" s="52"/>
    </row>
    <row r="9" spans="1:4" x14ac:dyDescent="0.2">
      <c r="A9" s="47"/>
      <c r="B9" s="48" t="s">
        <v>4</v>
      </c>
      <c r="C9" s="67"/>
      <c r="D9" s="52"/>
    </row>
    <row r="10" spans="1:4" x14ac:dyDescent="0.2">
      <c r="A10" s="47"/>
      <c r="B10" s="48" t="s">
        <v>30</v>
      </c>
      <c r="C10" s="67"/>
      <c r="D10" s="52"/>
    </row>
    <row r="11" spans="1:4" ht="12" thickBot="1" x14ac:dyDescent="0.25">
      <c r="A11" s="47"/>
      <c r="B11" s="48" t="s">
        <v>5</v>
      </c>
      <c r="C11" s="68"/>
      <c r="D11" s="52"/>
    </row>
    <row r="12" spans="1:4" ht="12" thickBot="1" x14ac:dyDescent="0.25">
      <c r="A12" s="44" t="s">
        <v>17</v>
      </c>
      <c r="B12" s="45"/>
      <c r="C12" s="46"/>
      <c r="D12" s="65"/>
    </row>
    <row r="13" spans="1:4" x14ac:dyDescent="0.2">
      <c r="A13" s="47"/>
      <c r="B13" s="48" t="s">
        <v>6</v>
      </c>
      <c r="C13" s="66"/>
      <c r="D13" s="52"/>
    </row>
    <row r="14" spans="1:4" x14ac:dyDescent="0.2">
      <c r="A14" s="47"/>
      <c r="B14" s="48" t="s">
        <v>32</v>
      </c>
      <c r="C14" s="67"/>
      <c r="D14" s="52"/>
    </row>
    <row r="15" spans="1:4" ht="12" thickBot="1" x14ac:dyDescent="0.25">
      <c r="A15" s="47"/>
      <c r="B15" s="48" t="s">
        <v>33</v>
      </c>
      <c r="C15" s="68"/>
      <c r="D15" s="52"/>
    </row>
    <row r="16" spans="1:4" ht="12" thickBot="1" x14ac:dyDescent="0.25">
      <c r="A16" s="44" t="s">
        <v>18</v>
      </c>
      <c r="B16" s="45"/>
      <c r="C16" s="46"/>
      <c r="D16" s="65"/>
    </row>
    <row r="17" spans="1:4" x14ac:dyDescent="0.2">
      <c r="A17" s="47"/>
      <c r="B17" s="48" t="s">
        <v>39</v>
      </c>
      <c r="C17" s="66"/>
      <c r="D17" s="52"/>
    </row>
    <row r="18" spans="1:4" x14ac:dyDescent="0.2">
      <c r="A18" s="47"/>
      <c r="B18" s="48" t="s">
        <v>40</v>
      </c>
      <c r="C18" s="67"/>
      <c r="D18" s="52"/>
    </row>
    <row r="19" spans="1:4" x14ac:dyDescent="0.2">
      <c r="A19" s="47"/>
      <c r="B19" s="48" t="s">
        <v>41</v>
      </c>
      <c r="C19" s="67"/>
      <c r="D19" s="52"/>
    </row>
    <row r="20" spans="1:4" x14ac:dyDescent="0.2">
      <c r="A20" s="47"/>
      <c r="B20" s="48" t="s">
        <v>34</v>
      </c>
      <c r="C20" s="67"/>
      <c r="D20" s="52"/>
    </row>
    <row r="21" spans="1:4" ht="12" thickBot="1" x14ac:dyDescent="0.25">
      <c r="A21" s="51"/>
      <c r="B21" s="40" t="s">
        <v>8</v>
      </c>
      <c r="C21" s="68"/>
      <c r="D21" s="53"/>
    </row>
    <row r="22" spans="1:4" ht="12" thickBot="1" x14ac:dyDescent="0.25">
      <c r="A22" s="44" t="s">
        <v>11</v>
      </c>
      <c r="B22" s="45"/>
      <c r="C22" s="46"/>
      <c r="D22" s="46"/>
    </row>
    <row r="23" spans="1:4" x14ac:dyDescent="0.2">
      <c r="A23" s="48"/>
      <c r="B23" s="48"/>
    </row>
    <row r="24" spans="1:4" x14ac:dyDescent="0.2">
      <c r="A24" s="48"/>
      <c r="B24" s="48"/>
    </row>
    <row r="25" spans="1:4" x14ac:dyDescent="0.2">
      <c r="A25" s="48"/>
      <c r="B25" s="48"/>
    </row>
    <row r="26" spans="1:4" x14ac:dyDescent="0.2">
      <c r="A26" s="48"/>
      <c r="B26" s="48"/>
    </row>
    <row r="28" spans="1:4" x14ac:dyDescent="0.2">
      <c r="A28" s="48"/>
      <c r="B28" s="48"/>
    </row>
    <row r="29" spans="1:4" x14ac:dyDescent="0.2">
      <c r="A29" s="48"/>
      <c r="B29" s="48"/>
    </row>
    <row r="30" spans="1:4" x14ac:dyDescent="0.2">
      <c r="A30" s="48"/>
      <c r="B30" s="48"/>
    </row>
  </sheetData>
  <pageMargins left="0.70866141732283472" right="0.70866141732283472" top="0.78740157480314965" bottom="0.78740157480314965" header="0.31496062992125984" footer="0.31496062992125984"/>
  <pageSetup paperSize="9" orientation="landscape" r:id="rId1"/>
  <headerFooter>
    <oddHeader>&amp;LProjektname: Storebox Terminal&amp;CGesamtansicht&amp;RDatum: 17.10.2018</oddHeader>
    <oddFooter>&amp;CSeite 6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Vorprojekt</vt:lpstr>
      <vt:lpstr>Projektmanagement</vt:lpstr>
      <vt:lpstr>Grobentwicklung</vt:lpstr>
      <vt:lpstr>Feinentwicklung</vt:lpstr>
      <vt:lpstr>Tests und Abnahme</vt:lpstr>
      <vt:lpstr>Gesamtansicht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Josef</dc:creator>
  <cp:lastModifiedBy>David</cp:lastModifiedBy>
  <cp:lastPrinted>2018-10-16T21:07:51Z</cp:lastPrinted>
  <dcterms:created xsi:type="dcterms:W3CDTF">2011-11-24T09:03:11Z</dcterms:created>
  <dcterms:modified xsi:type="dcterms:W3CDTF">2018-10-16T21:08:13Z</dcterms:modified>
</cp:coreProperties>
</file>
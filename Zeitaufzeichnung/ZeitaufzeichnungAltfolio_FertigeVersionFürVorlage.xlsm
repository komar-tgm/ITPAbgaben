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kostr\Dropbox\ITP\Zeitaufzeichnung\"/>
    </mc:Choice>
  </mc:AlternateContent>
  <xr:revisionPtr revIDLastSave="0" documentId="13_ncr:1_{C51E96EF-4FF4-4E52-8809-B482C5ACA109}" xr6:coauthVersionLast="37" xr6:coauthVersionMax="37" xr10:uidLastSave="{00000000-0000-0000-0000-000000000000}"/>
  <bookViews>
    <workbookView xWindow="0" yWindow="0" windowWidth="23040" windowHeight="9072" xr2:uid="{00000000-000D-0000-FFFF-FFFF00000000}"/>
  </bookViews>
  <sheets>
    <sheet name="Vorprojekt" sheetId="7" r:id="rId1"/>
    <sheet name="Projektmanagement" sheetId="5" r:id="rId2"/>
    <sheet name="Grobentwicklung" sheetId="1" r:id="rId3"/>
    <sheet name="Feinentwicklung" sheetId="3" r:id="rId4"/>
    <sheet name="Tests und Abnahme" sheetId="4" r:id="rId5"/>
    <sheet name="Gesamtansicht" sheetId="6" r:id="rId6"/>
  </sheets>
  <calcPr calcId="1790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28" i="5" l="1"/>
  <c r="B28" i="5"/>
  <c r="C29" i="5"/>
  <c r="B29" i="5"/>
  <c r="C16" i="6"/>
  <c r="D16" i="6"/>
  <c r="D12" i="6"/>
  <c r="C32" i="4"/>
  <c r="C23" i="4"/>
  <c r="C22" i="4"/>
  <c r="C30" i="4"/>
  <c r="C26" i="4"/>
  <c r="C25" i="4"/>
  <c r="C24" i="4"/>
  <c r="C31" i="4"/>
  <c r="B26" i="4"/>
  <c r="B25" i="4"/>
  <c r="B24" i="4"/>
  <c r="B23" i="4"/>
  <c r="B22" i="4"/>
  <c r="B31" i="4"/>
  <c r="B30" i="4"/>
  <c r="B32" i="4"/>
  <c r="B27" i="4" l="1"/>
  <c r="C27" i="4"/>
  <c r="C33" i="4"/>
  <c r="C7" i="6"/>
  <c r="C2" i="6"/>
  <c r="C22" i="6" s="1"/>
  <c r="D2" i="6"/>
  <c r="B31" i="5"/>
  <c r="B32" i="5" s="1"/>
  <c r="B35" i="5"/>
  <c r="C36" i="5"/>
  <c r="C37" i="5"/>
  <c r="C35" i="5"/>
  <c r="B37" i="5"/>
  <c r="B36" i="5"/>
  <c r="C31" i="5"/>
  <c r="C32" i="5" s="1"/>
  <c r="B38" i="5" l="1"/>
  <c r="B33" i="4"/>
  <c r="C31" i="7"/>
  <c r="C30" i="7"/>
  <c r="B30" i="7"/>
  <c r="C29" i="7"/>
  <c r="C25" i="7"/>
  <c r="C24" i="7"/>
  <c r="C23" i="7"/>
  <c r="C22" i="7"/>
  <c r="B25" i="3"/>
  <c r="B24" i="3"/>
  <c r="B23" i="3"/>
  <c r="B19" i="3"/>
  <c r="B18" i="3"/>
  <c r="B17" i="3"/>
  <c r="B20" i="3" s="1"/>
  <c r="B18" i="1"/>
  <c r="B19" i="1" s="1"/>
  <c r="B17" i="1"/>
  <c r="B16" i="1"/>
  <c r="B12" i="1"/>
  <c r="B11" i="1"/>
  <c r="B10" i="1"/>
  <c r="B13" i="1" s="1"/>
  <c r="B31" i="7"/>
  <c r="B29" i="7"/>
  <c r="B26" i="7"/>
  <c r="B26" i="3" l="1"/>
  <c r="C26" i="7"/>
  <c r="B32" i="7"/>
  <c r="C32" i="7"/>
  <c r="C25" i="3"/>
  <c r="C24" i="3"/>
  <c r="C23" i="3"/>
  <c r="C19" i="3"/>
  <c r="C18" i="3"/>
  <c r="C17" i="3"/>
  <c r="C13" i="1" l="1"/>
  <c r="D7" i="6"/>
  <c r="D22" i="6" s="1"/>
  <c r="C38" i="5"/>
  <c r="C19" i="1"/>
  <c r="C20" i="3"/>
  <c r="C26" i="3"/>
</calcChain>
</file>

<file path=xl/sharedStrings.xml><?xml version="1.0" encoding="utf-8"?>
<sst xmlns="http://schemas.openxmlformats.org/spreadsheetml/2006/main" count="410" uniqueCount="159">
  <si>
    <t>Datum</t>
  </si>
  <si>
    <t>Arbeit</t>
  </si>
  <si>
    <t>Projektcontroling</t>
  </si>
  <si>
    <t>Projektabschluss</t>
  </si>
  <si>
    <t>Hauptfunktionen</t>
  </si>
  <si>
    <t>Verschlüsselung und Authentifizierung</t>
  </si>
  <si>
    <t>Detailergänzung</t>
  </si>
  <si>
    <t>Gesamtsystemtest</t>
  </si>
  <si>
    <t>Abnahme</t>
  </si>
  <si>
    <t>Arbeitspaket</t>
  </si>
  <si>
    <t>Ergebnis</t>
  </si>
  <si>
    <t>GESAMT</t>
  </si>
  <si>
    <t>Projektkoordination</t>
  </si>
  <si>
    <t>Projekthandbuch</t>
  </si>
  <si>
    <t>Name</t>
  </si>
  <si>
    <t>Projektmarketing</t>
  </si>
  <si>
    <t>Projektpräsentation</t>
  </si>
  <si>
    <t>Projektmanagement</t>
  </si>
  <si>
    <t>Grobentwicklung</t>
  </si>
  <si>
    <t>Feinentwicklung</t>
  </si>
  <si>
    <t>Tests und Abnahme</t>
  </si>
  <si>
    <t>Kostroun</t>
  </si>
  <si>
    <t>Dzindzihashvili</t>
  </si>
  <si>
    <t>Falkowski</t>
  </si>
  <si>
    <t>Projektantrag</t>
  </si>
  <si>
    <t>Grundstruktur</t>
  </si>
  <si>
    <t>Lastenheft</t>
  </si>
  <si>
    <t>Machbarkeitsstudie</t>
  </si>
  <si>
    <t>Pflichtenheft</t>
  </si>
  <si>
    <t>Dzindzihasvili</t>
  </si>
  <si>
    <t>Dzinzihasvili</t>
  </si>
  <si>
    <t>Dzinzihashvili</t>
  </si>
  <si>
    <t>100% Produktfunktionen abgeschlossen</t>
  </si>
  <si>
    <t>70% Produktfunktionen abgeschlossen</t>
  </si>
  <si>
    <t>Projektorganisation, Projektbeschreibung</t>
  </si>
  <si>
    <t>Ziele, Hauptaufgaben, Risiken</t>
  </si>
  <si>
    <t>Zielbestimmung, 50% Produktfunktionen abgeschlossen</t>
  </si>
  <si>
    <t>Einführung</t>
  </si>
  <si>
    <t>Soll-Zustand, Produktauswahl, 70% Produktfunktionen abgeschlossen</t>
  </si>
  <si>
    <t>100% Produktfunktionen abgeschlossen, Technische Machbarkeit, Wirtschaftliche Machbarkeit</t>
  </si>
  <si>
    <t>Entwicklungsumgebung, Produktleistungen, Benutzerschnittstelle</t>
  </si>
  <si>
    <t>100% Produktfunktionen abgeschlossen ,Produktdaten, Grafische Darstellung</t>
  </si>
  <si>
    <t>Produkteinsatz ,50% Produktfunktionen abgeschlossen</t>
  </si>
  <si>
    <t>Einführung, Zielbestimmung</t>
  </si>
  <si>
    <t>Nutzwertanalyse, Projektorganisation, Projektplanung, Managment Summary, Machbarkeitsstudie fertiggestellt</t>
  </si>
  <si>
    <t>Globale Testfälle, Vertragsgegenstand , Projektplanung(PSP, Meilensteinplan), Pflichtenheft fertiggestellt</t>
  </si>
  <si>
    <t>Einführung, ist-Zustand</t>
  </si>
  <si>
    <t>Produktleistungen, Produktdaten, Lastenheft fertiggestellt</t>
  </si>
  <si>
    <t>Nutzen, Wirtschaftlichkeit, Projektkategorisierung, Projektantrag fertiggestellt</t>
  </si>
  <si>
    <t>Grundstruktur der Website</t>
  </si>
  <si>
    <t>Regestrierungs und Loginfenster</t>
  </si>
  <si>
    <t>Eine Datenbank, in der man sich registrieren und anmelden kann</t>
  </si>
  <si>
    <t>Seitenleiste + Menüleiste</t>
  </si>
  <si>
    <t>Es wurde eine Seitenleiste und eine Menüleiste hinzugefügt</t>
  </si>
  <si>
    <t>Fehleranzeige AltFolio</t>
  </si>
  <si>
    <t>Fallkowski</t>
  </si>
  <si>
    <t>Arbeitsaufteilung</t>
  </si>
  <si>
    <t>Projekpräsentation</t>
  </si>
  <si>
    <t>Jedes Teammitglied hat seine Arbeit zugeteilt bekommen</t>
  </si>
  <si>
    <t>100% Präsentation abgeschlossen</t>
  </si>
  <si>
    <t>80% Präsentation abgeschlossen</t>
  </si>
  <si>
    <t>50% Präsentation abgeschlossen</t>
  </si>
  <si>
    <t>Präsentation überarbeitet</t>
  </si>
  <si>
    <t>Projektauftrag, Projektzielplan,Projektumweltengrafik, Projektumweltenbeziehungen</t>
  </si>
  <si>
    <t>Datenbankkonfiguration</t>
  </si>
  <si>
    <t>Oberflächeng-Gestaltung</t>
  </si>
  <si>
    <t>Oberflächen-Gestaltung</t>
  </si>
  <si>
    <t>Hautpfunktionen</t>
  </si>
  <si>
    <t>Datenankkonfiguration</t>
  </si>
  <si>
    <t>Oberfächen-Gestaltung</t>
  </si>
  <si>
    <t>Datenbankfunktionsspezifikation</t>
  </si>
  <si>
    <t>Datenbankperfektion</t>
  </si>
  <si>
    <t>Gesamttest</t>
  </si>
  <si>
    <t>Projektmeeting</t>
  </si>
  <si>
    <t>Fortschritt des Projekts im Team besprochen</t>
  </si>
  <si>
    <t>Projekthandbuch bearbeitet und zu 50 % fertiggestellt</t>
  </si>
  <si>
    <t>Projekthandbuch bearbeitet und zu 60% fertiggestellt</t>
  </si>
  <si>
    <t>Präsentation überarbeitet und zu 40% abgeschlossen</t>
  </si>
  <si>
    <t>Präsentetion bearbeitet und bereit zum Vortragen</t>
  </si>
  <si>
    <t>Präsentation vorgetragen</t>
  </si>
  <si>
    <t>Präsentation bearbeitet zu 80% abgeschlossen</t>
  </si>
  <si>
    <t>Website Hintergund verändert</t>
  </si>
  <si>
    <t>Hintergundfarbe auf blau geändert</t>
  </si>
  <si>
    <t>Loginfester angepasst</t>
  </si>
  <si>
    <t>Loginfenster zentriert</t>
  </si>
  <si>
    <t>Registrierungsfenster angepasst</t>
  </si>
  <si>
    <t>Registrierungsfenster zentriert</t>
  </si>
  <si>
    <t>Tabelle hinzugefügt</t>
  </si>
  <si>
    <t>Tabelle ohne korrekten Werten hinzugefügt</t>
  </si>
  <si>
    <t>Tabelle angepasst</t>
  </si>
  <si>
    <t>Tabelle zentriert und Design verschönert</t>
  </si>
  <si>
    <t>Website Hintergund bearbeitet</t>
  </si>
  <si>
    <t>Gradient hinzugefügt</t>
  </si>
  <si>
    <t>Einstellungsseite hinzugefügt</t>
  </si>
  <si>
    <t>Einstellungen für die Website erstellt</t>
  </si>
  <si>
    <t>Tabelle mit der Datenbank verbunden</t>
  </si>
  <si>
    <t>Tabelle ist mit der Datenbank verbunden</t>
  </si>
  <si>
    <t>Login verschnellert</t>
  </si>
  <si>
    <t>Login ist jetzt schneller</t>
  </si>
  <si>
    <t>Datenbank ist jetzt effizienter</t>
  </si>
  <si>
    <t>Datenbank fertiggestellt</t>
  </si>
  <si>
    <t>Die Datenbank ist fertig</t>
  </si>
  <si>
    <t>Spalten der Tabelle Datentypen hinzugefügt</t>
  </si>
  <si>
    <t>Es wurden den Spalten Datentypen hinzugefügt</t>
  </si>
  <si>
    <t>Optimierung der Datenbank</t>
  </si>
  <si>
    <t>geplante Dauer</t>
  </si>
  <si>
    <t>tatsächliche Dauer</t>
  </si>
  <si>
    <t>geplante Gesamtdauer</t>
  </si>
  <si>
    <t>tatsächliche Gesamtdauer</t>
  </si>
  <si>
    <t>Projektmeilensteinplan, Projektbalkenplan, Projektkostenplan, Projektkommunikation</t>
  </si>
  <si>
    <t>Projektorganigramm, Projektorganisation, Projektstrukturplan, Projektfunktionendiagramm</t>
  </si>
  <si>
    <t>Grundstruktur + Anmeldung</t>
  </si>
  <si>
    <t>Fehler, wenn Benutzer auf den Punkt AltFolio klickt aber nicht angemeldet ist</t>
  </si>
  <si>
    <t>Login und Registrierungsfenster, die man über eigene Button aufrufen kann</t>
  </si>
  <si>
    <t>Funktionstest</t>
  </si>
  <si>
    <t>Schnittstellentest</t>
  </si>
  <si>
    <t>Kompatibilitätstest</t>
  </si>
  <si>
    <t>Anmeldung getestet</t>
  </si>
  <si>
    <t>Projekt abgabe</t>
  </si>
  <si>
    <t>Test der Funktion der Links der Navigationsbar</t>
  </si>
  <si>
    <t>Test der Werte der Tabelle (ob korrekte Werte)</t>
  </si>
  <si>
    <t xml:space="preserve">Test der News-Seite </t>
  </si>
  <si>
    <t>Registrierung getestet</t>
  </si>
  <si>
    <t>Test des AltFolios</t>
  </si>
  <si>
    <t>Projekthandbuch bearbeitet und zu 80% fertiggestellt</t>
  </si>
  <si>
    <t>Projekthandbuch bearbeitet und zu 100% fertiggestellt, Abgabebereit</t>
  </si>
  <si>
    <t>Präsentation überarbeitet und zu 75% abgeschlossen</t>
  </si>
  <si>
    <t>Präsentation überarbeitet und zu 100% abgeschlossen</t>
  </si>
  <si>
    <t>Fortschritt des Projekts im Team besprochen, neue Aufgaben verteilt</t>
  </si>
  <si>
    <t>Projektabgabe</t>
  </si>
  <si>
    <t>Projekthandbuch, Zeitaufzeichnung abgegeben</t>
  </si>
  <si>
    <t>Passwort zurücksetzen getestet</t>
  </si>
  <si>
    <t>Passwort ändern getestet</t>
  </si>
  <si>
    <t>Webseite auf verschiedenen Browsern getestet</t>
  </si>
  <si>
    <t>Alle Funktionen des Projekts getestet</t>
  </si>
  <si>
    <t>Löschen des AltFolios getestet</t>
  </si>
  <si>
    <t>Kryptowährung zum AltFolio hinzufügen getestet</t>
  </si>
  <si>
    <t>Test ob Daten in Datenbank gespeichert werden</t>
  </si>
  <si>
    <t>Webseite auf dem Handy getesten</t>
  </si>
  <si>
    <t>Testen der Webseite bei unterschiedlicher Skalierung</t>
  </si>
  <si>
    <t>Registrierung funktioniert</t>
  </si>
  <si>
    <t xml:space="preserve"> Anmeldung funktioniert</t>
  </si>
  <si>
    <t>Alle Daten werden wie gewollt in der Datenbank gespeichert</t>
  </si>
  <si>
    <t>Alle Links funktionieren planmäßig</t>
  </si>
  <si>
    <t>Funktioniert wie geplant</t>
  </si>
  <si>
    <t>Alle Werte und Daten des AltFolios funktionieren</t>
  </si>
  <si>
    <t>Webseite passt sich der Größe des Handys an und ist bedienbar</t>
  </si>
  <si>
    <t>Ganze Webseite passt sich jeglicher Skalierung an und ist bedienbar</t>
  </si>
  <si>
    <t>Webseite funktioniert auf allen Browsern ohne Verluste</t>
  </si>
  <si>
    <t>Passwort kann geändert werden funktioniert wie geplant</t>
  </si>
  <si>
    <t>AltFolio kann gelöscht werden und alle Daten werden auf Default gesetzt</t>
  </si>
  <si>
    <t>Alle Funktionen funktionieren plangemäß</t>
  </si>
  <si>
    <t>Das Projekt wird abgegeben</t>
  </si>
  <si>
    <t>Auf älteren Browser Versionen getestet</t>
  </si>
  <si>
    <t>Ein Wert ist ist falsch muss verbessert werden, sonst alles planmäßig</t>
  </si>
  <si>
    <t>Kryptowährung dem AltFolio planmäßig hinzugefügt</t>
  </si>
  <si>
    <t>Email kommt nicht an muss geändert werden, Datenbank funktioniert</t>
  </si>
  <si>
    <t xml:space="preserve">Webseite funktioniert auf alten Browser Versionen </t>
  </si>
  <si>
    <t>Prjektkoordination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</si>
</sst>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2">
    <xf numFmtId="0" fontId="0" fillId="0" borderId="0" xfId="0"/>
    <xf numFmtId="0" fontId="1" fillId="0" borderId="7" xfId="0" applyFont="1" applyBorder="1"/>
    <xf numFmtId="0" fontId="1" fillId="0" borderId="2" xfId="0" applyFont="1" applyBorder="1" applyAlignment="1">
      <alignment horizontal="center"/>
    </xf>
    <xf numFmtId="0" fontId="1" fillId="0" borderId="2" xfId="0" applyFont="1" applyBorder="1" applyAlignment="1"/>
    <xf numFmtId="0" fontId="1" fillId="0" borderId="2" xfId="0" applyFont="1" applyBorder="1"/>
    <xf numFmtId="0" fontId="1" fillId="0" borderId="3" xfId="0" applyFont="1" applyBorder="1"/>
    <xf numFmtId="0" fontId="1" fillId="0" borderId="0" xfId="0" applyFont="1"/>
    <xf numFmtId="0" fontId="1" fillId="0" borderId="8" xfId="0" applyFont="1" applyBorder="1"/>
    <xf numFmtId="0" fontId="1" fillId="0" borderId="10" xfId="0" applyFont="1" applyFill="1" applyBorder="1"/>
    <xf numFmtId="0" fontId="1" fillId="0" borderId="0" xfId="0" applyFont="1" applyBorder="1"/>
    <xf numFmtId="14" fontId="1" fillId="0" borderId="0" xfId="0" applyNumberFormat="1" applyFont="1" applyBorder="1"/>
    <xf numFmtId="0" fontId="1" fillId="0" borderId="4" xfId="0" applyFont="1" applyBorder="1"/>
    <xf numFmtId="0" fontId="1" fillId="0" borderId="9" xfId="0" applyFont="1" applyBorder="1"/>
    <xf numFmtId="0" fontId="1" fillId="0" borderId="10" xfId="0" applyFont="1" applyBorder="1"/>
    <xf numFmtId="9" fontId="1" fillId="0" borderId="4" xfId="0" applyNumberFormat="1" applyFont="1" applyBorder="1"/>
    <xf numFmtId="0" fontId="1" fillId="0" borderId="12" xfId="0" applyFont="1" applyBorder="1"/>
    <xf numFmtId="0" fontId="1" fillId="0" borderId="0" xfId="0" applyFont="1" applyFill="1" applyBorder="1"/>
    <xf numFmtId="0" fontId="1" fillId="0" borderId="13" xfId="0" applyFont="1" applyBorder="1"/>
    <xf numFmtId="0" fontId="1" fillId="0" borderId="11" xfId="0" applyFont="1" applyBorder="1"/>
    <xf numFmtId="0" fontId="1" fillId="0" borderId="5" xfId="0" applyFont="1" applyBorder="1"/>
    <xf numFmtId="14" fontId="1" fillId="0" borderId="5" xfId="0" applyNumberFormat="1" applyFont="1" applyBorder="1"/>
    <xf numFmtId="0" fontId="1" fillId="0" borderId="6" xfId="0" applyFont="1" applyBorder="1"/>
    <xf numFmtId="164" fontId="1" fillId="0" borderId="0" xfId="0" applyNumberFormat="1" applyFont="1"/>
    <xf numFmtId="0" fontId="1" fillId="0" borderId="1" xfId="0" applyFont="1" applyBorder="1"/>
    <xf numFmtId="2" fontId="1" fillId="0" borderId="2" xfId="0" applyNumberFormat="1" applyFont="1" applyBorder="1"/>
    <xf numFmtId="0" fontId="1" fillId="0" borderId="4" xfId="0" applyNumberFormat="1" applyFont="1" applyBorder="1"/>
    <xf numFmtId="2" fontId="1" fillId="0" borderId="5" xfId="0" applyNumberFormat="1" applyFont="1" applyBorder="1"/>
    <xf numFmtId="0" fontId="1" fillId="0" borderId="6" xfId="0" applyNumberFormat="1" applyFont="1" applyBorder="1"/>
    <xf numFmtId="2" fontId="1" fillId="0" borderId="0" xfId="0" applyNumberFormat="1" applyFont="1"/>
    <xf numFmtId="0" fontId="1" fillId="0" borderId="2" xfId="0" applyFont="1" applyBorder="1" applyAlignment="1">
      <alignment horizontal="left"/>
    </xf>
    <xf numFmtId="0" fontId="1" fillId="0" borderId="15" xfId="0" applyFont="1" applyBorder="1"/>
    <xf numFmtId="164" fontId="1" fillId="0" borderId="4" xfId="0" applyNumberFormat="1" applyFont="1" applyBorder="1"/>
    <xf numFmtId="164" fontId="1" fillId="0" borderId="6" xfId="0" applyNumberFormat="1" applyFont="1" applyBorder="1"/>
    <xf numFmtId="20" fontId="1" fillId="0" borderId="10" xfId="0" applyNumberFormat="1" applyFont="1" applyBorder="1"/>
    <xf numFmtId="0" fontId="1" fillId="0" borderId="11" xfId="0" applyFont="1" applyFill="1" applyBorder="1"/>
    <xf numFmtId="0" fontId="1" fillId="0" borderId="16" xfId="0" applyFont="1" applyBorder="1"/>
    <xf numFmtId="0" fontId="1" fillId="0" borderId="14" xfId="0" applyFont="1" applyBorder="1"/>
    <xf numFmtId="0" fontId="1" fillId="0" borderId="17" xfId="0" applyFont="1" applyBorder="1"/>
    <xf numFmtId="164" fontId="1" fillId="0" borderId="14" xfId="0" applyNumberFormat="1" applyFont="1" applyBorder="1"/>
    <xf numFmtId="164" fontId="1" fillId="0" borderId="12" xfId="0" applyNumberFormat="1" applyFont="1" applyBorder="1"/>
    <xf numFmtId="20" fontId="1" fillId="0" borderId="4" xfId="0" applyNumberFormat="1" applyFont="1" applyBorder="1"/>
    <xf numFmtId="2" fontId="1" fillId="0" borderId="4" xfId="0" applyNumberFormat="1" applyFont="1" applyBorder="1"/>
    <xf numFmtId="0" fontId="1" fillId="0" borderId="17" xfId="0" applyFont="1" applyBorder="1" applyAlignment="1">
      <alignment horizontal="left"/>
    </xf>
    <xf numFmtId="164" fontId="1" fillId="0" borderId="5" xfId="0" applyNumberFormat="1" applyFont="1" applyBorder="1"/>
    <xf numFmtId="0" fontId="1" fillId="0" borderId="0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164" fontId="1" fillId="0" borderId="1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164" fontId="1" fillId="0" borderId="17" xfId="0" applyNumberFormat="1" applyFont="1" applyBorder="1"/>
    <xf numFmtId="164" fontId="1" fillId="0" borderId="9" xfId="0" applyNumberFormat="1" applyFont="1" applyBorder="1" applyAlignment="1">
      <alignment horizontal="right"/>
    </xf>
    <xf numFmtId="164" fontId="1" fillId="0" borderId="10" xfId="0" applyNumberFormat="1" applyFont="1" applyBorder="1"/>
    <xf numFmtId="164" fontId="1" fillId="0" borderId="0" xfId="0" applyNumberFormat="1" applyFont="1" applyBorder="1"/>
    <xf numFmtId="164" fontId="1" fillId="0" borderId="0" xfId="0" applyNumberFormat="1" applyFont="1" applyFill="1" applyBorder="1"/>
    <xf numFmtId="164" fontId="1" fillId="0" borderId="9" xfId="0" applyNumberFormat="1" applyFont="1" applyBorder="1"/>
    <xf numFmtId="164" fontId="1" fillId="0" borderId="11" xfId="0" applyNumberFormat="1" applyFont="1" applyBorder="1"/>
    <xf numFmtId="164" fontId="1" fillId="0" borderId="4" xfId="0" applyNumberFormat="1" applyFont="1" applyBorder="1" applyAlignment="1">
      <alignment horizontal="right"/>
    </xf>
    <xf numFmtId="164" fontId="1" fillId="0" borderId="6" xfId="0" applyNumberFormat="1" applyFont="1" applyBorder="1" applyAlignment="1">
      <alignment horizontal="right"/>
    </xf>
    <xf numFmtId="164" fontId="1" fillId="0" borderId="0" xfId="0" applyNumberFormat="1" applyFont="1" applyBorder="1" applyAlignment="1">
      <alignment horizontal="right"/>
    </xf>
    <xf numFmtId="164" fontId="1" fillId="0" borderId="5" xfId="0" applyNumberFormat="1" applyFont="1" applyBorder="1" applyAlignment="1">
      <alignment horizontal="center"/>
    </xf>
    <xf numFmtId="164" fontId="1" fillId="0" borderId="0" xfId="0" applyNumberFormat="1" applyFont="1" applyBorder="1" applyAlignment="1">
      <alignment horizontal="center"/>
    </xf>
    <xf numFmtId="164" fontId="1" fillId="0" borderId="2" xfId="0" applyNumberFormat="1" applyFont="1" applyBorder="1"/>
    <xf numFmtId="164" fontId="1" fillId="0" borderId="15" xfId="0" applyNumberFormat="1" applyFont="1" applyBorder="1" applyAlignment="1">
      <alignment horizontal="left"/>
    </xf>
    <xf numFmtId="0" fontId="1" fillId="0" borderId="20" xfId="0" applyFont="1" applyBorder="1" applyAlignment="1">
      <alignment horizontal="left"/>
    </xf>
    <xf numFmtId="0" fontId="1" fillId="0" borderId="0" xfId="0" applyFont="1" applyAlignment="1">
      <alignment horizontal="center"/>
    </xf>
    <xf numFmtId="0" fontId="1" fillId="0" borderId="0" xfId="0" applyFont="1" applyFill="1" applyBorder="1" applyAlignment="1">
      <alignment horizontal="center"/>
    </xf>
    <xf numFmtId="164" fontId="1" fillId="0" borderId="0" xfId="0" applyNumberFormat="1" applyFont="1" applyAlignment="1">
      <alignment horizontal="center"/>
    </xf>
    <xf numFmtId="164" fontId="1" fillId="0" borderId="0" xfId="0" applyNumberFormat="1" applyFont="1" applyFill="1" applyBorder="1" applyAlignment="1">
      <alignment horizontal="center"/>
    </xf>
    <xf numFmtId="164" fontId="1" fillId="0" borderId="5" xfId="0" applyNumberFormat="1" applyFont="1" applyFill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1" fillId="0" borderId="0" xfId="0" applyNumberFormat="1" applyFont="1" applyBorder="1" applyAlignment="1">
      <alignment horizontal="center"/>
    </xf>
    <xf numFmtId="2" fontId="1" fillId="0" borderId="5" xfId="0" applyNumberFormat="1" applyFont="1" applyBorder="1" applyAlignment="1">
      <alignment horizontal="center"/>
    </xf>
    <xf numFmtId="164" fontId="1" fillId="0" borderId="14" xfId="0" applyNumberFormat="1" applyFont="1" applyBorder="1" applyAlignment="1">
      <alignment horizontal="right"/>
    </xf>
    <xf numFmtId="164" fontId="1" fillId="0" borderId="12" xfId="0" applyNumberFormat="1" applyFont="1" applyBorder="1" applyAlignment="1">
      <alignment horizontal="right"/>
    </xf>
    <xf numFmtId="164" fontId="1" fillId="0" borderId="19" xfId="0" applyNumberFormat="1" applyFont="1" applyBorder="1" applyAlignment="1">
      <alignment horizontal="right"/>
    </xf>
    <xf numFmtId="164" fontId="1" fillId="0" borderId="8" xfId="0" applyNumberFormat="1" applyFont="1" applyBorder="1" applyAlignment="1">
      <alignment horizontal="right"/>
    </xf>
    <xf numFmtId="164" fontId="1" fillId="0" borderId="15" xfId="0" applyNumberFormat="1" applyFont="1" applyBorder="1" applyAlignment="1">
      <alignment horizontal="right"/>
    </xf>
    <xf numFmtId="164" fontId="1" fillId="0" borderId="18" xfId="0" applyNumberFormat="1" applyFont="1" applyBorder="1" applyAlignment="1">
      <alignment horizontal="right"/>
    </xf>
    <xf numFmtId="164" fontId="1" fillId="0" borderId="0" xfId="0" applyNumberFormat="1" applyFont="1" applyBorder="1" applyAlignment="1">
      <alignment horizontal="right"/>
    </xf>
    <xf numFmtId="164" fontId="1" fillId="0" borderId="4" xfId="0" applyNumberFormat="1" applyFont="1" applyBorder="1" applyAlignment="1">
      <alignment horizontal="right"/>
    </xf>
    <xf numFmtId="164" fontId="1" fillId="0" borderId="5" xfId="0" applyNumberFormat="1" applyFont="1" applyBorder="1" applyAlignment="1">
      <alignment horizontal="right"/>
    </xf>
    <xf numFmtId="164" fontId="1" fillId="0" borderId="6" xfId="0" applyNumberFormat="1" applyFont="1" applyBorder="1" applyAlignment="1">
      <alignment horizontal="right"/>
    </xf>
    <xf numFmtId="164" fontId="1" fillId="0" borderId="17" xfId="0" applyNumberFormat="1" applyFont="1" applyBorder="1" applyAlignment="1">
      <alignment horizontal="center"/>
    </xf>
    <xf numFmtId="164" fontId="1" fillId="0" borderId="14" xfId="0" applyNumberFormat="1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5" xfId="0" applyFont="1" applyBorder="1" applyAlignment="1">
      <alignment horizontal="right"/>
    </xf>
    <xf numFmtId="0" fontId="1" fillId="0" borderId="18" xfId="0" applyFont="1" applyBorder="1" applyAlignment="1">
      <alignment horizontal="right"/>
    </xf>
    <xf numFmtId="0" fontId="1" fillId="0" borderId="0" xfId="0" applyFont="1" applyBorder="1" applyAlignment="1">
      <alignment horizontal="right"/>
    </xf>
    <xf numFmtId="0" fontId="1" fillId="0" borderId="4" xfId="0" applyFont="1" applyBorder="1" applyAlignment="1">
      <alignment horizontal="right"/>
    </xf>
    <xf numFmtId="0" fontId="1" fillId="0" borderId="5" xfId="0" applyFont="1" applyBorder="1" applyAlignment="1">
      <alignment horizontal="right"/>
    </xf>
    <xf numFmtId="0" fontId="1" fillId="0" borderId="6" xfId="0" applyFont="1" applyBorder="1" applyAlignment="1">
      <alignment horizontal="right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G32"/>
  <sheetViews>
    <sheetView tabSelected="1" zoomScale="115" zoomScaleNormal="115" workbookViewId="0">
      <selection activeCell="B2" sqref="B2"/>
    </sheetView>
  </sheetViews>
  <sheetFormatPr baseColWidth="10" defaultColWidth="11.109375" defaultRowHeight="10.199999999999999" x14ac:dyDescent="0.2"/>
  <cols>
    <col min="1" max="1" width="12.33203125" style="6" customWidth="1"/>
    <col min="2" max="2" width="16" style="6" customWidth="1"/>
    <col min="3" max="3" width="7.44140625" style="6" customWidth="1"/>
    <col min="4" max="4" width="11.33203125" style="6" customWidth="1"/>
    <col min="5" max="5" width="13.44140625" style="6" customWidth="1"/>
    <col min="6" max="6" width="70.5546875" style="6" customWidth="1"/>
    <col min="7" max="7" width="17.109375" style="6" bestFit="1" customWidth="1"/>
    <col min="8" max="8" width="17.33203125" style="6" bestFit="1" customWidth="1"/>
    <col min="9" max="9" width="13.33203125" style="6" customWidth="1"/>
    <col min="10" max="16384" width="11.109375" style="6"/>
  </cols>
  <sheetData>
    <row r="1" spans="1:7" x14ac:dyDescent="0.2">
      <c r="A1" s="1" t="s">
        <v>14</v>
      </c>
      <c r="B1" s="29" t="s">
        <v>9</v>
      </c>
      <c r="C1" s="3" t="s">
        <v>0</v>
      </c>
      <c r="D1" s="4" t="s">
        <v>105</v>
      </c>
      <c r="E1" s="4" t="s">
        <v>106</v>
      </c>
      <c r="F1" s="5" t="s">
        <v>10</v>
      </c>
    </row>
    <row r="2" spans="1:7" ht="10.8" thickBot="1" x14ac:dyDescent="0.25">
      <c r="A2" s="7" t="s">
        <v>21</v>
      </c>
      <c r="B2" s="9" t="s">
        <v>24</v>
      </c>
      <c r="C2" s="10">
        <v>43109</v>
      </c>
      <c r="D2" s="66">
        <v>1</v>
      </c>
      <c r="E2" s="60">
        <v>1</v>
      </c>
      <c r="F2" s="11" t="s">
        <v>34</v>
      </c>
    </row>
    <row r="3" spans="1:7" ht="10.8" thickBot="1" x14ac:dyDescent="0.25">
      <c r="A3" s="12" t="s">
        <v>23</v>
      </c>
      <c r="B3" s="9" t="s">
        <v>24</v>
      </c>
      <c r="C3" s="10">
        <v>43110</v>
      </c>
      <c r="D3" s="66">
        <v>1</v>
      </c>
      <c r="E3" s="60">
        <v>1</v>
      </c>
      <c r="F3" s="11" t="s">
        <v>35</v>
      </c>
    </row>
    <row r="4" spans="1:7" ht="10.8" thickBot="1" x14ac:dyDescent="0.25">
      <c r="A4" s="12" t="s">
        <v>29</v>
      </c>
      <c r="B4" s="9" t="s">
        <v>24</v>
      </c>
      <c r="C4" s="10">
        <v>43112</v>
      </c>
      <c r="D4" s="66">
        <v>1</v>
      </c>
      <c r="E4" s="60">
        <v>1.5</v>
      </c>
      <c r="F4" s="11" t="s">
        <v>48</v>
      </c>
    </row>
    <row r="5" spans="1:7" ht="10.8" thickBot="1" x14ac:dyDescent="0.25">
      <c r="A5" s="12" t="s">
        <v>31</v>
      </c>
      <c r="B5" s="9" t="s">
        <v>26</v>
      </c>
      <c r="C5" s="10">
        <v>43140</v>
      </c>
      <c r="D5" s="66">
        <v>0.5</v>
      </c>
      <c r="E5" s="67">
        <v>0.5</v>
      </c>
      <c r="F5" s="11" t="s">
        <v>37</v>
      </c>
    </row>
    <row r="6" spans="1:7" ht="10.8" thickBot="1" x14ac:dyDescent="0.25">
      <c r="A6" s="12" t="s">
        <v>23</v>
      </c>
      <c r="B6" s="9" t="s">
        <v>26</v>
      </c>
      <c r="C6" s="10">
        <v>43143</v>
      </c>
      <c r="D6" s="66">
        <v>1</v>
      </c>
      <c r="E6" s="67">
        <v>1.5</v>
      </c>
      <c r="F6" s="11" t="s">
        <v>36</v>
      </c>
    </row>
    <row r="7" spans="1:7" ht="10.8" thickBot="1" x14ac:dyDescent="0.25">
      <c r="A7" s="12" t="s">
        <v>29</v>
      </c>
      <c r="B7" s="9" t="s">
        <v>26</v>
      </c>
      <c r="C7" s="10">
        <v>43144</v>
      </c>
      <c r="D7" s="66">
        <v>0.5</v>
      </c>
      <c r="E7" s="67">
        <v>1</v>
      </c>
      <c r="F7" s="11" t="s">
        <v>33</v>
      </c>
    </row>
    <row r="8" spans="1:7" ht="10.8" thickBot="1" x14ac:dyDescent="0.25">
      <c r="A8" s="12" t="s">
        <v>29</v>
      </c>
      <c r="B8" s="9" t="s">
        <v>26</v>
      </c>
      <c r="C8" s="10">
        <v>43146</v>
      </c>
      <c r="D8" s="66">
        <v>0.5</v>
      </c>
      <c r="E8" s="67">
        <v>0.5</v>
      </c>
      <c r="F8" s="11" t="s">
        <v>32</v>
      </c>
    </row>
    <row r="9" spans="1:7" ht="12" customHeight="1" thickBot="1" x14ac:dyDescent="0.25">
      <c r="A9" s="12" t="s">
        <v>21</v>
      </c>
      <c r="B9" s="9" t="s">
        <v>26</v>
      </c>
      <c r="C9" s="10">
        <v>43148</v>
      </c>
      <c r="D9" s="66">
        <v>1.5</v>
      </c>
      <c r="E9" s="67">
        <v>2</v>
      </c>
      <c r="F9" s="11" t="s">
        <v>47</v>
      </c>
    </row>
    <row r="10" spans="1:7" ht="10.8" thickBot="1" x14ac:dyDescent="0.25">
      <c r="A10" s="12" t="s">
        <v>21</v>
      </c>
      <c r="B10" s="9" t="s">
        <v>27</v>
      </c>
      <c r="C10" s="10">
        <v>43149</v>
      </c>
      <c r="D10" s="66">
        <v>0.5</v>
      </c>
      <c r="E10" s="67">
        <v>0.5</v>
      </c>
      <c r="F10" s="11" t="s">
        <v>46</v>
      </c>
    </row>
    <row r="11" spans="1:7" ht="10.8" thickBot="1" x14ac:dyDescent="0.25">
      <c r="A11" s="12" t="s">
        <v>23</v>
      </c>
      <c r="B11" s="9" t="s">
        <v>27</v>
      </c>
      <c r="C11" s="10">
        <v>43150</v>
      </c>
      <c r="D11" s="66">
        <v>1.5</v>
      </c>
      <c r="E11" s="67">
        <v>1.5</v>
      </c>
      <c r="F11" s="11" t="s">
        <v>38</v>
      </c>
    </row>
    <row r="12" spans="1:7" ht="10.8" thickBot="1" x14ac:dyDescent="0.25">
      <c r="A12" s="12" t="s">
        <v>23</v>
      </c>
      <c r="B12" s="9" t="s">
        <v>27</v>
      </c>
      <c r="C12" s="10">
        <v>43152</v>
      </c>
      <c r="D12" s="66">
        <v>2</v>
      </c>
      <c r="E12" s="67">
        <v>2.5</v>
      </c>
      <c r="F12" s="11" t="s">
        <v>39</v>
      </c>
    </row>
    <row r="13" spans="1:7" ht="10.8" thickBot="1" x14ac:dyDescent="0.25">
      <c r="A13" s="12" t="s">
        <v>21</v>
      </c>
      <c r="B13" s="9" t="s">
        <v>27</v>
      </c>
      <c r="C13" s="10">
        <v>43155</v>
      </c>
      <c r="D13" s="66">
        <v>3</v>
      </c>
      <c r="E13" s="67">
        <v>2</v>
      </c>
      <c r="F13" s="11" t="s">
        <v>44</v>
      </c>
    </row>
    <row r="14" spans="1:7" ht="10.8" thickBot="1" x14ac:dyDescent="0.25">
      <c r="A14" s="12" t="s">
        <v>30</v>
      </c>
      <c r="B14" s="9" t="s">
        <v>28</v>
      </c>
      <c r="C14" s="10">
        <v>43156</v>
      </c>
      <c r="D14" s="66">
        <v>0.5</v>
      </c>
      <c r="E14" s="67">
        <v>1</v>
      </c>
      <c r="F14" s="11" t="s">
        <v>43</v>
      </c>
    </row>
    <row r="15" spans="1:7" ht="10.8" thickBot="1" x14ac:dyDescent="0.25">
      <c r="A15" s="12" t="s">
        <v>21</v>
      </c>
      <c r="B15" s="9" t="s">
        <v>28</v>
      </c>
      <c r="C15" s="10">
        <v>43156</v>
      </c>
      <c r="D15" s="66">
        <v>1.5</v>
      </c>
      <c r="E15" s="67">
        <v>1.5</v>
      </c>
      <c r="F15" s="11" t="s">
        <v>42</v>
      </c>
      <c r="G15" s="9"/>
    </row>
    <row r="16" spans="1:7" ht="10.8" thickBot="1" x14ac:dyDescent="0.25">
      <c r="A16" s="12" t="s">
        <v>23</v>
      </c>
      <c r="B16" s="9" t="s">
        <v>28</v>
      </c>
      <c r="C16" s="10">
        <v>43157</v>
      </c>
      <c r="D16" s="66">
        <v>1.5</v>
      </c>
      <c r="E16" s="67">
        <v>1.5</v>
      </c>
      <c r="F16" s="11" t="s">
        <v>41</v>
      </c>
      <c r="G16" s="16"/>
    </row>
    <row r="17" spans="1:6" ht="10.8" thickBot="1" x14ac:dyDescent="0.25">
      <c r="A17" s="12" t="s">
        <v>29</v>
      </c>
      <c r="B17" s="9" t="s">
        <v>28</v>
      </c>
      <c r="C17" s="10">
        <v>43159</v>
      </c>
      <c r="D17" s="66">
        <v>1</v>
      </c>
      <c r="E17" s="67">
        <v>1.5</v>
      </c>
      <c r="F17" s="11" t="s">
        <v>40</v>
      </c>
    </row>
    <row r="18" spans="1:6" ht="10.8" thickBot="1" x14ac:dyDescent="0.25">
      <c r="A18" s="12" t="s">
        <v>21</v>
      </c>
      <c r="B18" s="19" t="s">
        <v>28</v>
      </c>
      <c r="C18" s="20">
        <v>43160</v>
      </c>
      <c r="D18" s="59">
        <v>2</v>
      </c>
      <c r="E18" s="68">
        <v>2.5</v>
      </c>
      <c r="F18" s="21" t="s">
        <v>45</v>
      </c>
    </row>
    <row r="20" spans="1:6" ht="15.75" customHeight="1" thickBot="1" x14ac:dyDescent="0.25"/>
    <row r="21" spans="1:6" ht="10.8" thickBot="1" x14ac:dyDescent="0.25">
      <c r="A21" s="35" t="s">
        <v>9</v>
      </c>
      <c r="B21" s="42" t="s">
        <v>107</v>
      </c>
      <c r="C21" s="84" t="s">
        <v>108</v>
      </c>
      <c r="D21" s="85"/>
    </row>
    <row r="22" spans="1:6" x14ac:dyDescent="0.2">
      <c r="A22" s="13" t="s">
        <v>24</v>
      </c>
      <c r="B22" s="22">
        <v>3</v>
      </c>
      <c r="C22" s="79">
        <f>SUM(E2,E3,E4)</f>
        <v>3.5</v>
      </c>
      <c r="D22" s="79"/>
    </row>
    <row r="23" spans="1:6" x14ac:dyDescent="0.2">
      <c r="A23" s="13" t="s">
        <v>26</v>
      </c>
      <c r="B23" s="22">
        <v>4</v>
      </c>
      <c r="C23" s="79">
        <f>SUM(E5,E6,E7,E8,E9)</f>
        <v>5.5</v>
      </c>
      <c r="D23" s="79"/>
    </row>
    <row r="24" spans="1:6" x14ac:dyDescent="0.2">
      <c r="A24" s="13" t="s">
        <v>27</v>
      </c>
      <c r="B24" s="22">
        <v>7</v>
      </c>
      <c r="C24" s="79">
        <f>SUM(E10,E11,E12,E13)</f>
        <v>6.5</v>
      </c>
      <c r="D24" s="79"/>
    </row>
    <row r="25" spans="1:6" x14ac:dyDescent="0.2">
      <c r="A25" s="8" t="s">
        <v>28</v>
      </c>
      <c r="B25" s="22">
        <v>6.5</v>
      </c>
      <c r="C25" s="78">
        <f>SUM(E14,E15,E16,E17,E18)</f>
        <v>8</v>
      </c>
      <c r="D25" s="79"/>
    </row>
    <row r="26" spans="1:6" ht="15.75" customHeight="1" thickBot="1" x14ac:dyDescent="0.25">
      <c r="A26" s="34" t="s">
        <v>11</v>
      </c>
      <c r="B26" s="43">
        <f>SUM(B22,B23,B24,B25)</f>
        <v>20.5</v>
      </c>
      <c r="C26" s="80">
        <f>SUM(C22,C23,C24,C25)</f>
        <v>23.5</v>
      </c>
      <c r="D26" s="81"/>
    </row>
    <row r="27" spans="1:6" ht="10.8" thickBot="1" x14ac:dyDescent="0.25">
      <c r="B27" s="22"/>
      <c r="C27" s="22"/>
      <c r="D27" s="22"/>
    </row>
    <row r="28" spans="1:6" ht="10.8" thickBot="1" x14ac:dyDescent="0.25">
      <c r="A28" s="35" t="s">
        <v>14</v>
      </c>
      <c r="B28" s="49" t="s">
        <v>107</v>
      </c>
      <c r="C28" s="82" t="s">
        <v>108</v>
      </c>
      <c r="D28" s="83"/>
    </row>
    <row r="29" spans="1:6" x14ac:dyDescent="0.2">
      <c r="A29" s="13" t="s">
        <v>21</v>
      </c>
      <c r="B29" s="22">
        <f>SUM(D2,D9,D10,D13,D15,D18)</f>
        <v>9.5</v>
      </c>
      <c r="C29" s="76">
        <f>SUM(E2,E9,E10,E13,E15,E18)</f>
        <v>9.5</v>
      </c>
      <c r="D29" s="77"/>
    </row>
    <row r="30" spans="1:6" x14ac:dyDescent="0.2">
      <c r="A30" s="13" t="s">
        <v>23</v>
      </c>
      <c r="B30" s="22">
        <f>SUM(D3,D6,D11,D12,D16)</f>
        <v>7</v>
      </c>
      <c r="C30" s="78">
        <f>SUM(E3,E6,E11,E12,E16)</f>
        <v>8</v>
      </c>
      <c r="D30" s="79"/>
    </row>
    <row r="31" spans="1:6" x14ac:dyDescent="0.2">
      <c r="A31" s="13" t="s">
        <v>22</v>
      </c>
      <c r="B31" s="52">
        <f>SUM(D4,D5,D7,D8,D14,D17)</f>
        <v>4</v>
      </c>
      <c r="C31" s="78">
        <f>SUM(E4,E5,E7,E8,E14,E17)</f>
        <v>6</v>
      </c>
      <c r="D31" s="79"/>
    </row>
    <row r="32" spans="1:6" ht="10.8" thickBot="1" x14ac:dyDescent="0.25">
      <c r="A32" s="18" t="s">
        <v>11</v>
      </c>
      <c r="B32" s="43">
        <f>SUM(B29,B30,B31)</f>
        <v>20.5</v>
      </c>
      <c r="C32" s="80">
        <f>SUM(C29,C30,C31)</f>
        <v>23.5</v>
      </c>
      <c r="D32" s="81"/>
    </row>
  </sheetData>
  <mergeCells count="11">
    <mergeCell ref="C21:D21"/>
    <mergeCell ref="C22:D22"/>
    <mergeCell ref="C23:D23"/>
    <mergeCell ref="C24:D24"/>
    <mergeCell ref="C29:D29"/>
    <mergeCell ref="C30:D30"/>
    <mergeCell ref="C31:D31"/>
    <mergeCell ref="C32:D32"/>
    <mergeCell ref="C25:D25"/>
    <mergeCell ref="C26:D26"/>
    <mergeCell ref="C28:D28"/>
  </mergeCells>
  <pageMargins left="0.70866141732283472" right="0.70866141732283472" top="0.78740157480314965" bottom="0.78740157480314965" header="0.31496062992125984" footer="0.31496062992125984"/>
  <pageSetup paperSize="9" orientation="landscape" r:id="rId1"/>
  <headerFooter>
    <oddHeader>&amp;LProjektname: AltFolio&amp;CVorprojekt&amp;RDatum: 24.05.2018</oddHeader>
    <oddFooter>&amp;CSeite 1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G38"/>
  <sheetViews>
    <sheetView zoomScaleNormal="100" workbookViewId="0">
      <selection activeCell="E2" sqref="E2:F24"/>
    </sheetView>
  </sheetViews>
  <sheetFormatPr baseColWidth="10" defaultColWidth="11.109375" defaultRowHeight="10.199999999999999" x14ac:dyDescent="0.2"/>
  <cols>
    <col min="1" max="1" width="13.33203125" style="6" customWidth="1"/>
    <col min="2" max="2" width="16" style="6" customWidth="1"/>
    <col min="3" max="3" width="14.33203125" style="6" customWidth="1"/>
    <col min="4" max="4" width="8.6640625" style="6" bestFit="1" customWidth="1"/>
    <col min="5" max="5" width="11" style="6" customWidth="1"/>
    <col min="6" max="6" width="13.5546875" style="6" customWidth="1"/>
    <col min="7" max="7" width="53.44140625" style="6" customWidth="1"/>
    <col min="8" max="8" width="17.33203125" style="6" bestFit="1" customWidth="1"/>
    <col min="9" max="9" width="13.33203125" style="6" customWidth="1"/>
    <col min="10" max="16384" width="11.109375" style="6"/>
  </cols>
  <sheetData>
    <row r="1" spans="1:7" x14ac:dyDescent="0.2">
      <c r="A1" s="1" t="s">
        <v>14</v>
      </c>
      <c r="B1" s="29" t="s">
        <v>9</v>
      </c>
      <c r="C1" s="2" t="s">
        <v>1</v>
      </c>
      <c r="D1" s="3" t="s">
        <v>0</v>
      </c>
      <c r="E1" s="4" t="s">
        <v>105</v>
      </c>
      <c r="F1" s="4" t="s">
        <v>106</v>
      </c>
      <c r="G1" s="5" t="s">
        <v>10</v>
      </c>
    </row>
    <row r="2" spans="1:7" ht="10.8" thickBot="1" x14ac:dyDescent="0.25">
      <c r="A2" s="7" t="s">
        <v>22</v>
      </c>
      <c r="B2" s="8" t="s">
        <v>12</v>
      </c>
      <c r="C2" s="9" t="s">
        <v>56</v>
      </c>
      <c r="D2" s="10">
        <v>43155</v>
      </c>
      <c r="E2" s="64">
        <v>1</v>
      </c>
      <c r="F2" s="44">
        <v>1</v>
      </c>
      <c r="G2" s="11" t="s">
        <v>58</v>
      </c>
    </row>
    <row r="3" spans="1:7" ht="10.8" thickBot="1" x14ac:dyDescent="0.25">
      <c r="A3" s="12" t="s">
        <v>21</v>
      </c>
      <c r="B3" s="13" t="s">
        <v>15</v>
      </c>
      <c r="C3" s="9" t="s">
        <v>16</v>
      </c>
      <c r="D3" s="10">
        <v>43157</v>
      </c>
      <c r="E3" s="64">
        <v>0.5</v>
      </c>
      <c r="F3" s="44">
        <v>1</v>
      </c>
      <c r="G3" s="14" t="s">
        <v>61</v>
      </c>
    </row>
    <row r="4" spans="1:7" ht="10.8" thickBot="1" x14ac:dyDescent="0.25">
      <c r="A4" s="12" t="s">
        <v>23</v>
      </c>
      <c r="B4" s="13" t="s">
        <v>15</v>
      </c>
      <c r="C4" s="9" t="s">
        <v>16</v>
      </c>
      <c r="D4" s="10">
        <v>43158</v>
      </c>
      <c r="E4" s="64">
        <v>0.5</v>
      </c>
      <c r="F4" s="44">
        <v>1</v>
      </c>
      <c r="G4" s="11" t="s">
        <v>60</v>
      </c>
    </row>
    <row r="5" spans="1:7" s="9" customFormat="1" x14ac:dyDescent="0.2">
      <c r="A5" s="15" t="s">
        <v>22</v>
      </c>
      <c r="B5" s="13" t="s">
        <v>15</v>
      </c>
      <c r="C5" s="9" t="s">
        <v>16</v>
      </c>
      <c r="D5" s="10">
        <v>43159</v>
      </c>
      <c r="E5" s="44">
        <v>1</v>
      </c>
      <c r="F5" s="65">
        <v>1.5</v>
      </c>
      <c r="G5" s="11" t="s">
        <v>59</v>
      </c>
    </row>
    <row r="6" spans="1:7" ht="10.8" thickBot="1" x14ac:dyDescent="0.25">
      <c r="A6" s="17" t="s">
        <v>23</v>
      </c>
      <c r="B6" s="13" t="s">
        <v>2</v>
      </c>
      <c r="C6" s="9" t="s">
        <v>13</v>
      </c>
      <c r="D6" s="10">
        <v>43170</v>
      </c>
      <c r="E6" s="64">
        <v>1.5</v>
      </c>
      <c r="F6" s="65">
        <v>1.5</v>
      </c>
      <c r="G6" s="11" t="s">
        <v>63</v>
      </c>
    </row>
    <row r="7" spans="1:7" ht="10.8" thickBot="1" x14ac:dyDescent="0.25">
      <c r="A7" s="12" t="s">
        <v>21</v>
      </c>
      <c r="B7" s="8" t="s">
        <v>2</v>
      </c>
      <c r="C7" s="9" t="s">
        <v>13</v>
      </c>
      <c r="D7" s="10">
        <v>43174</v>
      </c>
      <c r="E7" s="64">
        <v>2</v>
      </c>
      <c r="F7" s="65">
        <v>2.5</v>
      </c>
      <c r="G7" s="11" t="s">
        <v>110</v>
      </c>
    </row>
    <row r="8" spans="1:7" ht="10.8" thickBot="1" x14ac:dyDescent="0.25">
      <c r="A8" s="12" t="s">
        <v>23</v>
      </c>
      <c r="B8" s="13" t="s">
        <v>2</v>
      </c>
      <c r="C8" s="9" t="s">
        <v>13</v>
      </c>
      <c r="D8" s="10">
        <v>43175</v>
      </c>
      <c r="E8" s="64">
        <v>2.5</v>
      </c>
      <c r="F8" s="65">
        <v>2.5</v>
      </c>
      <c r="G8" s="11" t="s">
        <v>109</v>
      </c>
    </row>
    <row r="9" spans="1:7" ht="10.8" thickBot="1" x14ac:dyDescent="0.25">
      <c r="A9" s="12" t="s">
        <v>22</v>
      </c>
      <c r="B9" s="13" t="s">
        <v>15</v>
      </c>
      <c r="C9" s="9" t="s">
        <v>57</v>
      </c>
      <c r="D9" s="10">
        <v>43179</v>
      </c>
      <c r="E9" s="64">
        <v>1</v>
      </c>
      <c r="F9" s="65">
        <v>1</v>
      </c>
      <c r="G9" s="11" t="s">
        <v>62</v>
      </c>
    </row>
    <row r="10" spans="1:7" ht="10.8" thickBot="1" x14ac:dyDescent="0.25">
      <c r="A10" s="12" t="s">
        <v>21</v>
      </c>
      <c r="B10" s="13" t="s">
        <v>15</v>
      </c>
      <c r="C10" s="9" t="s">
        <v>57</v>
      </c>
      <c r="D10" s="10">
        <v>43180</v>
      </c>
      <c r="E10" s="64">
        <v>1</v>
      </c>
      <c r="F10" s="65">
        <v>0.5</v>
      </c>
      <c r="G10" s="11" t="s">
        <v>59</v>
      </c>
    </row>
    <row r="11" spans="1:7" ht="10.8" thickBot="1" x14ac:dyDescent="0.25">
      <c r="A11" s="12" t="s">
        <v>21</v>
      </c>
      <c r="B11" s="13" t="s">
        <v>12</v>
      </c>
      <c r="C11" s="9" t="s">
        <v>73</v>
      </c>
      <c r="D11" s="10">
        <v>43191</v>
      </c>
      <c r="E11" s="64">
        <v>0.5</v>
      </c>
      <c r="F11" s="44">
        <v>1</v>
      </c>
      <c r="G11" s="11" t="s">
        <v>74</v>
      </c>
    </row>
    <row r="12" spans="1:7" ht="10.8" thickBot="1" x14ac:dyDescent="0.25">
      <c r="A12" s="12" t="s">
        <v>23</v>
      </c>
      <c r="B12" s="13" t="s">
        <v>2</v>
      </c>
      <c r="C12" s="9" t="s">
        <v>13</v>
      </c>
      <c r="D12" s="10">
        <v>43195</v>
      </c>
      <c r="E12" s="64">
        <v>1</v>
      </c>
      <c r="F12" s="44">
        <v>1</v>
      </c>
      <c r="G12" s="11" t="s">
        <v>75</v>
      </c>
    </row>
    <row r="13" spans="1:7" ht="10.8" thickBot="1" x14ac:dyDescent="0.25">
      <c r="A13" s="12" t="s">
        <v>22</v>
      </c>
      <c r="B13" s="13" t="s">
        <v>2</v>
      </c>
      <c r="C13" s="9" t="s">
        <v>13</v>
      </c>
      <c r="D13" s="10">
        <v>43200</v>
      </c>
      <c r="E13" s="64">
        <v>1</v>
      </c>
      <c r="F13" s="44">
        <v>1.5</v>
      </c>
      <c r="G13" s="11" t="s">
        <v>76</v>
      </c>
    </row>
    <row r="14" spans="1:7" ht="10.8" thickBot="1" x14ac:dyDescent="0.25">
      <c r="A14" s="12" t="s">
        <v>23</v>
      </c>
      <c r="B14" s="13" t="s">
        <v>15</v>
      </c>
      <c r="C14" s="9" t="s">
        <v>16</v>
      </c>
      <c r="D14" s="10">
        <v>43205</v>
      </c>
      <c r="E14" s="64">
        <v>0.5</v>
      </c>
      <c r="F14" s="44">
        <v>0.5</v>
      </c>
      <c r="G14" s="11" t="s">
        <v>77</v>
      </c>
    </row>
    <row r="15" spans="1:7" ht="10.8" thickBot="1" x14ac:dyDescent="0.25">
      <c r="A15" s="12" t="s">
        <v>21</v>
      </c>
      <c r="B15" s="13" t="s">
        <v>15</v>
      </c>
      <c r="C15" s="9" t="s">
        <v>16</v>
      </c>
      <c r="D15" s="10">
        <v>43208</v>
      </c>
      <c r="E15" s="64">
        <v>1</v>
      </c>
      <c r="F15" s="44">
        <v>1</v>
      </c>
      <c r="G15" s="11" t="s">
        <v>80</v>
      </c>
    </row>
    <row r="16" spans="1:7" ht="10.8" thickBot="1" x14ac:dyDescent="0.25">
      <c r="A16" s="12" t="s">
        <v>22</v>
      </c>
      <c r="B16" s="13" t="s">
        <v>15</v>
      </c>
      <c r="C16" s="9" t="s">
        <v>16</v>
      </c>
      <c r="D16" s="10">
        <v>43211</v>
      </c>
      <c r="E16" s="64">
        <v>1</v>
      </c>
      <c r="F16" s="44">
        <v>1.5</v>
      </c>
      <c r="G16" s="11" t="s">
        <v>78</v>
      </c>
    </row>
    <row r="17" spans="1:7" ht="10.8" thickBot="1" x14ac:dyDescent="0.25">
      <c r="A17" s="15" t="s">
        <v>23</v>
      </c>
      <c r="B17" s="13" t="s">
        <v>15</v>
      </c>
      <c r="C17" s="9" t="s">
        <v>16</v>
      </c>
      <c r="D17" s="10">
        <v>43223</v>
      </c>
      <c r="E17" s="44">
        <v>1</v>
      </c>
      <c r="F17" s="44">
        <v>1</v>
      </c>
      <c r="G17" s="11" t="s">
        <v>79</v>
      </c>
    </row>
    <row r="18" spans="1:7" ht="10.8" thickBot="1" x14ac:dyDescent="0.25">
      <c r="A18" s="12" t="s">
        <v>21</v>
      </c>
      <c r="B18" s="9" t="s">
        <v>12</v>
      </c>
      <c r="C18" s="9" t="s">
        <v>73</v>
      </c>
      <c r="D18" s="10">
        <v>43229</v>
      </c>
      <c r="E18" s="44">
        <v>1</v>
      </c>
      <c r="F18" s="44">
        <v>1</v>
      </c>
      <c r="G18" s="11" t="s">
        <v>128</v>
      </c>
    </row>
    <row r="19" spans="1:7" ht="10.8" thickBot="1" x14ac:dyDescent="0.25">
      <c r="A19" s="12" t="s">
        <v>22</v>
      </c>
      <c r="B19" s="9" t="s">
        <v>2</v>
      </c>
      <c r="C19" s="9" t="s">
        <v>13</v>
      </c>
      <c r="D19" s="10">
        <v>43233</v>
      </c>
      <c r="E19" s="44">
        <v>1.5</v>
      </c>
      <c r="F19" s="44">
        <v>1.5</v>
      </c>
      <c r="G19" s="11" t="s">
        <v>124</v>
      </c>
    </row>
    <row r="20" spans="1:7" ht="10.8" thickBot="1" x14ac:dyDescent="0.25">
      <c r="A20" s="12" t="s">
        <v>22</v>
      </c>
      <c r="B20" s="9" t="s">
        <v>15</v>
      </c>
      <c r="C20" s="9" t="s">
        <v>16</v>
      </c>
      <c r="D20" s="10">
        <v>43235</v>
      </c>
      <c r="E20" s="44">
        <v>1.5</v>
      </c>
      <c r="F20" s="44">
        <v>2</v>
      </c>
      <c r="G20" s="11" t="s">
        <v>126</v>
      </c>
    </row>
    <row r="21" spans="1:7" ht="10.8" thickBot="1" x14ac:dyDescent="0.25">
      <c r="A21" s="12" t="s">
        <v>23</v>
      </c>
      <c r="B21" s="9" t="s">
        <v>15</v>
      </c>
      <c r="C21" s="9" t="s">
        <v>16</v>
      </c>
      <c r="D21" s="10">
        <v>43240</v>
      </c>
      <c r="E21" s="44">
        <v>1</v>
      </c>
      <c r="F21" s="44">
        <v>1.5</v>
      </c>
      <c r="G21" s="11" t="s">
        <v>127</v>
      </c>
    </row>
    <row r="22" spans="1:7" ht="10.8" thickBot="1" x14ac:dyDescent="0.25">
      <c r="A22" s="12" t="s">
        <v>21</v>
      </c>
      <c r="B22" s="9" t="s">
        <v>2</v>
      </c>
      <c r="C22" s="9" t="s">
        <v>13</v>
      </c>
      <c r="D22" s="10">
        <v>43243</v>
      </c>
      <c r="E22" s="44">
        <v>1.5</v>
      </c>
      <c r="F22" s="44">
        <v>2</v>
      </c>
      <c r="G22" s="11" t="s">
        <v>125</v>
      </c>
    </row>
    <row r="23" spans="1:7" ht="10.8" thickBot="1" x14ac:dyDescent="0.25">
      <c r="A23" s="15" t="s">
        <v>21</v>
      </c>
      <c r="B23" s="9" t="s">
        <v>15</v>
      </c>
      <c r="C23" s="9" t="s">
        <v>16</v>
      </c>
      <c r="D23" s="10">
        <v>43244</v>
      </c>
      <c r="E23" s="44">
        <v>1</v>
      </c>
      <c r="F23" s="44">
        <v>1</v>
      </c>
      <c r="G23" s="11" t="s">
        <v>79</v>
      </c>
    </row>
    <row r="24" spans="1:7" ht="10.8" thickBot="1" x14ac:dyDescent="0.25">
      <c r="A24" s="12" t="s">
        <v>22</v>
      </c>
      <c r="B24" s="19" t="s">
        <v>3</v>
      </c>
      <c r="C24" s="19" t="s">
        <v>129</v>
      </c>
      <c r="D24" s="20">
        <v>43244</v>
      </c>
      <c r="E24" s="45">
        <v>1</v>
      </c>
      <c r="F24" s="45">
        <v>1</v>
      </c>
      <c r="G24" s="21" t="s">
        <v>130</v>
      </c>
    </row>
    <row r="26" spans="1:7" ht="10.8" thickBot="1" x14ac:dyDescent="0.25"/>
    <row r="27" spans="1:7" ht="10.8" thickBot="1" x14ac:dyDescent="0.25">
      <c r="A27" s="35" t="s">
        <v>9</v>
      </c>
      <c r="B27" s="37" t="s">
        <v>107</v>
      </c>
      <c r="C27" s="84" t="s">
        <v>108</v>
      </c>
      <c r="D27" s="85"/>
    </row>
    <row r="28" spans="1:7" x14ac:dyDescent="0.2">
      <c r="A28" s="23" t="s">
        <v>158</v>
      </c>
      <c r="B28" s="30">
        <f>SUM(E2,E11,E18)</f>
        <v>2.5</v>
      </c>
      <c r="C28" s="86">
        <f>SUM(F2,F11,F18)</f>
        <v>3</v>
      </c>
      <c r="D28" s="87"/>
    </row>
    <row r="29" spans="1:7" x14ac:dyDescent="0.2">
      <c r="A29" s="13" t="s">
        <v>2</v>
      </c>
      <c r="B29" s="6">
        <f>SUM(E6,E7,E8,E12,E13,E19,E22)</f>
        <v>11</v>
      </c>
      <c r="C29" s="89">
        <f>SUM(F6,F7,F8,F12,F13,F19,F22)</f>
        <v>12.5</v>
      </c>
      <c r="D29" s="89"/>
    </row>
    <row r="30" spans="1:7" x14ac:dyDescent="0.2">
      <c r="A30" s="13" t="s">
        <v>3</v>
      </c>
      <c r="B30" s="6">
        <v>1</v>
      </c>
      <c r="C30" s="89">
        <v>1</v>
      </c>
      <c r="D30" s="89"/>
    </row>
    <row r="31" spans="1:7" x14ac:dyDescent="0.2">
      <c r="A31" s="8" t="s">
        <v>15</v>
      </c>
      <c r="B31" s="6">
        <f>SUM(E3,E4,E5,E9,E10,E17,E14,E15,E16,E20,E21,E23)</f>
        <v>11</v>
      </c>
      <c r="C31" s="88">
        <f>SUM(F3,F4,F5,F9,F10,F14,F15,F16,F17,F20,F21,F23)</f>
        <v>13.5</v>
      </c>
      <c r="D31" s="89"/>
    </row>
    <row r="32" spans="1:7" ht="10.8" thickBot="1" x14ac:dyDescent="0.25">
      <c r="A32" s="34" t="s">
        <v>11</v>
      </c>
      <c r="B32" s="19">
        <f>SUM(B28,B29,B30,B31)</f>
        <v>25.5</v>
      </c>
      <c r="C32" s="90">
        <f>SUM(C28,C29,C30,C31)</f>
        <v>30</v>
      </c>
      <c r="D32" s="91"/>
    </row>
    <row r="33" spans="1:4" ht="10.8" thickBot="1" x14ac:dyDescent="0.25"/>
    <row r="34" spans="1:4" ht="10.8" thickBot="1" x14ac:dyDescent="0.25">
      <c r="A34" s="35" t="s">
        <v>14</v>
      </c>
      <c r="B34" s="37" t="s">
        <v>107</v>
      </c>
      <c r="C34" s="84" t="s">
        <v>108</v>
      </c>
      <c r="D34" s="85"/>
    </row>
    <row r="35" spans="1:4" x14ac:dyDescent="0.2">
      <c r="A35" s="13" t="s">
        <v>21</v>
      </c>
      <c r="B35" s="6">
        <f>SUM(E3,E7,E10,E11,E15,E18,E22,E23)</f>
        <v>8.5</v>
      </c>
      <c r="C35" s="86">
        <f>SUM(F3,F7,F10,F11,F15,F18,F22,F23)</f>
        <v>10</v>
      </c>
      <c r="D35" s="87"/>
    </row>
    <row r="36" spans="1:4" x14ac:dyDescent="0.2">
      <c r="A36" s="13" t="s">
        <v>23</v>
      </c>
      <c r="B36" s="6">
        <f>SUM(E4,E6,E8,E12,E17,E14,E21)</f>
        <v>8</v>
      </c>
      <c r="C36" s="88">
        <f>SUM(F4,F6,F8,F12,F14,F17,F21)</f>
        <v>9</v>
      </c>
      <c r="D36" s="89"/>
    </row>
    <row r="37" spans="1:4" x14ac:dyDescent="0.2">
      <c r="A37" s="13" t="s">
        <v>22</v>
      </c>
      <c r="B37" s="6">
        <f>SUM(E2,E5,E9,E13,E16,E19,E20,E24)</f>
        <v>9</v>
      </c>
      <c r="C37" s="88">
        <f>SUM(F2,F5,F9,F13,F16,F19,F20,F24)</f>
        <v>11</v>
      </c>
      <c r="D37" s="89"/>
    </row>
    <row r="38" spans="1:4" ht="10.8" thickBot="1" x14ac:dyDescent="0.25">
      <c r="A38" s="34" t="s">
        <v>11</v>
      </c>
      <c r="B38" s="19">
        <f>SUM(B35,B36,B37)</f>
        <v>25.5</v>
      </c>
      <c r="C38" s="90">
        <f>SUM(C35,C36,C37)</f>
        <v>30</v>
      </c>
      <c r="D38" s="91"/>
    </row>
  </sheetData>
  <mergeCells count="11">
    <mergeCell ref="C35:D35"/>
    <mergeCell ref="C36:D36"/>
    <mergeCell ref="C37:D37"/>
    <mergeCell ref="C38:D38"/>
    <mergeCell ref="C27:D27"/>
    <mergeCell ref="C29:D29"/>
    <mergeCell ref="C30:D30"/>
    <mergeCell ref="C31:D31"/>
    <mergeCell ref="C32:D32"/>
    <mergeCell ref="C34:D34"/>
    <mergeCell ref="C28:D28"/>
  </mergeCells>
  <dataValidations count="1">
    <dataValidation type="list" allowBlank="1" showInputMessage="1" showErrorMessage="1" errorTitle="Eingabe korrigieren" promptTitle="Falsche Eingabe" sqref="B2:B10" xr:uid="{00000000-0002-0000-0100-000000000000}">
      <formula1>#REF!</formula1>
    </dataValidation>
  </dataValidations>
  <pageMargins left="0.70866141732283472" right="0.70866141732283472" top="0.78740157480314965" bottom="0.78740157480314965" header="0.31496062992125984" footer="0.31496062992125984"/>
  <pageSetup paperSize="9" orientation="landscape" r:id="rId1"/>
  <headerFooter>
    <oddHeader>&amp;LProjektname: AltFolio&amp;CProjektmanagment&amp;RDatum: 24.05.2018</oddHeader>
    <oddFooter>&amp;CSeite 2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G30"/>
  <sheetViews>
    <sheetView zoomScale="145" zoomScaleNormal="145" workbookViewId="0">
      <selection activeCell="E2" sqref="E2:F6"/>
    </sheetView>
  </sheetViews>
  <sheetFormatPr baseColWidth="10" defaultColWidth="11.109375" defaultRowHeight="10.199999999999999" x14ac:dyDescent="0.2"/>
  <cols>
    <col min="1" max="1" width="15.33203125" style="6" customWidth="1"/>
    <col min="2" max="2" width="16" style="6" customWidth="1"/>
    <col min="3" max="3" width="20.5546875" style="6" customWidth="1"/>
    <col min="4" max="4" width="7.6640625" style="6" bestFit="1" customWidth="1"/>
    <col min="5" max="5" width="10.109375" style="22" customWidth="1"/>
    <col min="6" max="6" width="12.44140625" style="6" customWidth="1"/>
    <col min="7" max="7" width="48.6640625" style="6" customWidth="1"/>
    <col min="8" max="8" width="17.44140625" style="6" bestFit="1" customWidth="1"/>
    <col min="9" max="9" width="11.109375" style="6"/>
    <col min="10" max="10" width="13.44140625" style="6" customWidth="1"/>
    <col min="11" max="16384" width="11.109375" style="6"/>
  </cols>
  <sheetData>
    <row r="1" spans="1:7" ht="10.8" thickBot="1" x14ac:dyDescent="0.25">
      <c r="A1" s="12" t="s">
        <v>14</v>
      </c>
      <c r="B1" s="29" t="s">
        <v>9</v>
      </c>
      <c r="C1" s="4" t="s">
        <v>1</v>
      </c>
      <c r="D1" s="4" t="s">
        <v>0</v>
      </c>
      <c r="E1" s="61" t="s">
        <v>105</v>
      </c>
      <c r="F1" s="4" t="s">
        <v>106</v>
      </c>
      <c r="G1" s="5" t="s">
        <v>10</v>
      </c>
    </row>
    <row r="2" spans="1:7" ht="10.8" thickBot="1" x14ac:dyDescent="0.25">
      <c r="A2" s="12" t="s">
        <v>21</v>
      </c>
      <c r="B2" s="9" t="s">
        <v>66</v>
      </c>
      <c r="C2" s="9" t="s">
        <v>25</v>
      </c>
      <c r="D2" s="10">
        <v>43161</v>
      </c>
      <c r="E2" s="66">
        <v>3</v>
      </c>
      <c r="F2" s="60">
        <v>4</v>
      </c>
      <c r="G2" s="25" t="s">
        <v>49</v>
      </c>
    </row>
    <row r="3" spans="1:7" ht="10.8" thickBot="1" x14ac:dyDescent="0.25">
      <c r="A3" s="12" t="s">
        <v>23</v>
      </c>
      <c r="B3" s="9" t="s">
        <v>67</v>
      </c>
      <c r="C3" s="9" t="s">
        <v>50</v>
      </c>
      <c r="D3" s="10">
        <v>43164</v>
      </c>
      <c r="E3" s="66">
        <v>3</v>
      </c>
      <c r="F3" s="60">
        <v>3</v>
      </c>
      <c r="G3" s="25" t="s">
        <v>113</v>
      </c>
    </row>
    <row r="4" spans="1:7" ht="10.8" thickBot="1" x14ac:dyDescent="0.25">
      <c r="A4" s="12" t="s">
        <v>22</v>
      </c>
      <c r="B4" s="9" t="s">
        <v>68</v>
      </c>
      <c r="C4" s="9" t="s">
        <v>111</v>
      </c>
      <c r="D4" s="10">
        <v>43164</v>
      </c>
      <c r="E4" s="66">
        <v>4.5</v>
      </c>
      <c r="F4" s="60">
        <v>5</v>
      </c>
      <c r="G4" s="25" t="s">
        <v>51</v>
      </c>
    </row>
    <row r="5" spans="1:7" ht="10.8" thickBot="1" x14ac:dyDescent="0.25">
      <c r="A5" s="12" t="s">
        <v>21</v>
      </c>
      <c r="B5" s="16" t="s">
        <v>67</v>
      </c>
      <c r="C5" s="9" t="s">
        <v>52</v>
      </c>
      <c r="D5" s="10">
        <v>43167</v>
      </c>
      <c r="E5" s="66">
        <v>2</v>
      </c>
      <c r="F5" s="60">
        <v>2.5</v>
      </c>
      <c r="G5" s="25" t="s">
        <v>53</v>
      </c>
    </row>
    <row r="6" spans="1:7" ht="10.8" thickBot="1" x14ac:dyDescent="0.25">
      <c r="A6" s="12" t="s">
        <v>22</v>
      </c>
      <c r="B6" s="19" t="s">
        <v>66</v>
      </c>
      <c r="C6" s="19" t="s">
        <v>54</v>
      </c>
      <c r="D6" s="20">
        <v>43168</v>
      </c>
      <c r="E6" s="59">
        <v>1.5</v>
      </c>
      <c r="F6" s="59">
        <v>2</v>
      </c>
      <c r="G6" s="27" t="s">
        <v>112</v>
      </c>
    </row>
    <row r="8" spans="1:7" ht="10.8" thickBot="1" x14ac:dyDescent="0.25"/>
    <row r="9" spans="1:7" ht="10.8" thickBot="1" x14ac:dyDescent="0.25">
      <c r="A9" s="35" t="s">
        <v>9</v>
      </c>
      <c r="B9" s="37" t="s">
        <v>107</v>
      </c>
      <c r="C9" s="36" t="s">
        <v>108</v>
      </c>
    </row>
    <row r="10" spans="1:7" x14ac:dyDescent="0.2">
      <c r="A10" s="13" t="s">
        <v>69</v>
      </c>
      <c r="B10" s="22">
        <f>SUM(E2,E6)</f>
        <v>4.5</v>
      </c>
      <c r="C10" s="31">
        <v>6</v>
      </c>
    </row>
    <row r="11" spans="1:7" x14ac:dyDescent="0.2">
      <c r="A11" s="13" t="s">
        <v>64</v>
      </c>
      <c r="B11" s="22">
        <f>SUM(E4)</f>
        <v>4.5</v>
      </c>
      <c r="C11" s="31">
        <v>5</v>
      </c>
      <c r="F11" s="22"/>
    </row>
    <row r="12" spans="1:7" x14ac:dyDescent="0.2">
      <c r="A12" s="33" t="s">
        <v>4</v>
      </c>
      <c r="B12" s="22">
        <f>SUM(E3,E5)</f>
        <v>5</v>
      </c>
      <c r="C12" s="31">
        <v>5.5</v>
      </c>
    </row>
    <row r="13" spans="1:7" ht="10.8" thickBot="1" x14ac:dyDescent="0.25">
      <c r="A13" s="18" t="s">
        <v>11</v>
      </c>
      <c r="B13" s="43">
        <f>SUM(B10,B11,B12)</f>
        <v>14</v>
      </c>
      <c r="C13" s="32">
        <f>SUM(C10,C11,C12)</f>
        <v>16.5</v>
      </c>
    </row>
    <row r="14" spans="1:7" ht="10.8" thickBot="1" x14ac:dyDescent="0.25">
      <c r="B14" s="22"/>
      <c r="C14" s="22"/>
    </row>
    <row r="15" spans="1:7" ht="10.8" thickBot="1" x14ac:dyDescent="0.25">
      <c r="A15" s="35" t="s">
        <v>14</v>
      </c>
      <c r="B15" s="49" t="s">
        <v>107</v>
      </c>
      <c r="C15" s="38" t="s">
        <v>108</v>
      </c>
    </row>
    <row r="16" spans="1:7" x14ac:dyDescent="0.2">
      <c r="A16" s="13" t="s">
        <v>21</v>
      </c>
      <c r="B16" s="22">
        <f>SUM(E2,E5)</f>
        <v>5</v>
      </c>
      <c r="C16" s="31">
        <v>6.5</v>
      </c>
    </row>
    <row r="17" spans="1:3" x14ac:dyDescent="0.2">
      <c r="A17" s="13" t="s">
        <v>23</v>
      </c>
      <c r="B17" s="22">
        <f>SUM(E3)</f>
        <v>3</v>
      </c>
      <c r="C17" s="31">
        <v>3</v>
      </c>
    </row>
    <row r="18" spans="1:3" x14ac:dyDescent="0.2">
      <c r="A18" s="13" t="s">
        <v>22</v>
      </c>
      <c r="B18" s="22">
        <f>SUM(E4,E6)</f>
        <v>6</v>
      </c>
      <c r="C18" s="31">
        <v>7</v>
      </c>
    </row>
    <row r="19" spans="1:3" ht="10.8" thickBot="1" x14ac:dyDescent="0.25">
      <c r="A19" s="34" t="s">
        <v>11</v>
      </c>
      <c r="B19" s="43">
        <f>SUM(B16,B17,B18)</f>
        <v>14</v>
      </c>
      <c r="C19" s="32">
        <f>SUM(C16:C18)</f>
        <v>16.5</v>
      </c>
    </row>
    <row r="20" spans="1:3" x14ac:dyDescent="0.2">
      <c r="A20" s="9"/>
      <c r="B20" s="9"/>
    </row>
    <row r="21" spans="1:3" x14ac:dyDescent="0.2">
      <c r="A21" s="9"/>
      <c r="B21" s="9"/>
    </row>
    <row r="22" spans="1:3" x14ac:dyDescent="0.2">
      <c r="A22" s="9"/>
      <c r="B22" s="9"/>
    </row>
    <row r="23" spans="1:3" x14ac:dyDescent="0.2">
      <c r="A23" s="9"/>
      <c r="B23" s="9"/>
    </row>
    <row r="24" spans="1:3" x14ac:dyDescent="0.2">
      <c r="A24" s="9"/>
      <c r="B24" s="9"/>
    </row>
    <row r="25" spans="1:3" x14ac:dyDescent="0.2">
      <c r="A25" s="9"/>
      <c r="B25" s="9"/>
    </row>
    <row r="28" spans="1:3" x14ac:dyDescent="0.2">
      <c r="A28" s="9"/>
      <c r="B28" s="9"/>
    </row>
    <row r="29" spans="1:3" x14ac:dyDescent="0.2">
      <c r="A29" s="9"/>
      <c r="B29" s="9"/>
    </row>
    <row r="30" spans="1:3" x14ac:dyDescent="0.2">
      <c r="A30" s="9"/>
      <c r="B30" s="9"/>
    </row>
  </sheetData>
  <pageMargins left="0.70866141732283472" right="0.70866141732283472" top="0.78740157480314965" bottom="0.78740157480314965" header="0.31496062992125984" footer="0.31496062992125984"/>
  <pageSetup paperSize="9" orientation="landscape" r:id="rId1"/>
  <headerFooter>
    <oddHeader>&amp;LProjektname: AltFolio&amp;CGrobentwicklung&amp;RDatum: 24.05.2018</oddHeader>
    <oddFooter>&amp;CSeite 3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G26"/>
  <sheetViews>
    <sheetView zoomScale="145" zoomScaleNormal="145" workbookViewId="0">
      <selection activeCell="E2" sqref="E2:F13"/>
    </sheetView>
  </sheetViews>
  <sheetFormatPr baseColWidth="10" defaultColWidth="11.109375" defaultRowHeight="10.199999999999999" x14ac:dyDescent="0.2"/>
  <cols>
    <col min="1" max="2" width="21.33203125" style="6" bestFit="1" customWidth="1"/>
    <col min="3" max="3" width="27.33203125" style="6" bestFit="1" customWidth="1"/>
    <col min="4" max="4" width="7.6640625" style="6" bestFit="1" customWidth="1"/>
    <col min="5" max="5" width="11.44140625" style="28" bestFit="1" customWidth="1"/>
    <col min="6" max="6" width="14" style="6" bestFit="1" customWidth="1"/>
    <col min="7" max="7" width="27.88671875" style="6" customWidth="1"/>
    <col min="8" max="8" width="24.33203125" style="6" bestFit="1" customWidth="1"/>
    <col min="9" max="16384" width="11.109375" style="6"/>
  </cols>
  <sheetData>
    <row r="1" spans="1:7" ht="10.8" thickBot="1" x14ac:dyDescent="0.25">
      <c r="A1" s="12" t="s">
        <v>14</v>
      </c>
      <c r="B1" s="29" t="s">
        <v>9</v>
      </c>
      <c r="C1" s="29" t="s">
        <v>1</v>
      </c>
      <c r="D1" s="4" t="s">
        <v>0</v>
      </c>
      <c r="E1" s="24" t="s">
        <v>105</v>
      </c>
      <c r="F1" s="24" t="s">
        <v>106</v>
      </c>
      <c r="G1" s="5" t="s">
        <v>10</v>
      </c>
    </row>
    <row r="2" spans="1:7" ht="10.8" thickBot="1" x14ac:dyDescent="0.25">
      <c r="A2" s="12" t="s">
        <v>21</v>
      </c>
      <c r="B2" s="9" t="s">
        <v>6</v>
      </c>
      <c r="C2" s="9" t="s">
        <v>81</v>
      </c>
      <c r="D2" s="10">
        <v>43195</v>
      </c>
      <c r="E2" s="69">
        <v>1.5</v>
      </c>
      <c r="F2" s="70">
        <v>2</v>
      </c>
      <c r="G2" s="25" t="s">
        <v>82</v>
      </c>
    </row>
    <row r="3" spans="1:7" ht="10.8" thickBot="1" x14ac:dyDescent="0.25">
      <c r="A3" s="12" t="s">
        <v>23</v>
      </c>
      <c r="B3" s="9" t="s">
        <v>6</v>
      </c>
      <c r="C3" s="9" t="s">
        <v>83</v>
      </c>
      <c r="D3" s="10">
        <v>43197</v>
      </c>
      <c r="E3" s="69">
        <v>1</v>
      </c>
      <c r="F3" s="70">
        <v>1</v>
      </c>
      <c r="G3" s="25" t="s">
        <v>84</v>
      </c>
    </row>
    <row r="4" spans="1:7" ht="10.8" thickBot="1" x14ac:dyDescent="0.25">
      <c r="A4" s="12" t="s">
        <v>23</v>
      </c>
      <c r="B4" s="9" t="s">
        <v>6</v>
      </c>
      <c r="C4" s="9" t="s">
        <v>85</v>
      </c>
      <c r="D4" s="10">
        <v>43201</v>
      </c>
      <c r="E4" s="69">
        <v>0.5</v>
      </c>
      <c r="F4" s="70">
        <v>0.5</v>
      </c>
      <c r="G4" s="11" t="s">
        <v>86</v>
      </c>
    </row>
    <row r="5" spans="1:7" ht="10.8" thickBot="1" x14ac:dyDescent="0.25">
      <c r="A5" s="12" t="s">
        <v>22</v>
      </c>
      <c r="B5" s="9" t="s">
        <v>6</v>
      </c>
      <c r="C5" s="9" t="s">
        <v>87</v>
      </c>
      <c r="D5" s="10">
        <v>43204</v>
      </c>
      <c r="E5" s="69">
        <v>1.5</v>
      </c>
      <c r="F5" s="70">
        <v>2</v>
      </c>
      <c r="G5" s="11" t="s">
        <v>88</v>
      </c>
    </row>
    <row r="6" spans="1:7" ht="10.8" thickBot="1" x14ac:dyDescent="0.25">
      <c r="A6" s="12" t="s">
        <v>22</v>
      </c>
      <c r="B6" s="9" t="s">
        <v>70</v>
      </c>
      <c r="C6" s="9" t="s">
        <v>95</v>
      </c>
      <c r="D6" s="10">
        <v>43209</v>
      </c>
      <c r="E6" s="69">
        <v>3</v>
      </c>
      <c r="F6" s="70">
        <v>3.5</v>
      </c>
      <c r="G6" s="11" t="s">
        <v>96</v>
      </c>
    </row>
    <row r="7" spans="1:7" ht="10.8" thickBot="1" x14ac:dyDescent="0.25">
      <c r="A7" s="12" t="s">
        <v>21</v>
      </c>
      <c r="B7" s="9" t="s">
        <v>6</v>
      </c>
      <c r="C7" s="9" t="s">
        <v>89</v>
      </c>
      <c r="D7" s="10">
        <v>43212</v>
      </c>
      <c r="E7" s="69">
        <v>1</v>
      </c>
      <c r="F7" s="70">
        <v>0.5</v>
      </c>
      <c r="G7" s="11" t="s">
        <v>90</v>
      </c>
    </row>
    <row r="8" spans="1:7" ht="10.8" thickBot="1" x14ac:dyDescent="0.25">
      <c r="A8" s="12" t="s">
        <v>22</v>
      </c>
      <c r="B8" s="9" t="s">
        <v>70</v>
      </c>
      <c r="C8" s="9" t="s">
        <v>102</v>
      </c>
      <c r="D8" s="10">
        <v>43214</v>
      </c>
      <c r="E8" s="69">
        <v>1.5</v>
      </c>
      <c r="F8" s="70">
        <v>2</v>
      </c>
      <c r="G8" s="11" t="s">
        <v>103</v>
      </c>
    </row>
    <row r="9" spans="1:7" ht="10.8" thickBot="1" x14ac:dyDescent="0.25">
      <c r="A9" s="12" t="s">
        <v>23</v>
      </c>
      <c r="B9" s="9" t="s">
        <v>6</v>
      </c>
      <c r="C9" s="9" t="s">
        <v>91</v>
      </c>
      <c r="D9" s="10">
        <v>43215</v>
      </c>
      <c r="E9" s="69">
        <v>1.5</v>
      </c>
      <c r="F9" s="70">
        <v>1.5</v>
      </c>
      <c r="G9" s="11" t="s">
        <v>92</v>
      </c>
    </row>
    <row r="10" spans="1:7" ht="10.8" thickBot="1" x14ac:dyDescent="0.25">
      <c r="A10" s="12" t="s">
        <v>23</v>
      </c>
      <c r="B10" s="9" t="s">
        <v>6</v>
      </c>
      <c r="C10" s="9" t="s">
        <v>93</v>
      </c>
      <c r="D10" s="10">
        <v>43217</v>
      </c>
      <c r="E10" s="69">
        <v>0.5</v>
      </c>
      <c r="F10" s="70">
        <v>0.5</v>
      </c>
      <c r="G10" s="11" t="s">
        <v>94</v>
      </c>
    </row>
    <row r="11" spans="1:7" ht="10.8" thickBot="1" x14ac:dyDescent="0.25">
      <c r="A11" s="12" t="s">
        <v>21</v>
      </c>
      <c r="B11" s="9" t="s">
        <v>71</v>
      </c>
      <c r="C11" s="9" t="s">
        <v>97</v>
      </c>
      <c r="D11" s="10">
        <v>43219</v>
      </c>
      <c r="E11" s="69">
        <v>1.5</v>
      </c>
      <c r="F11" s="70">
        <v>1.5</v>
      </c>
      <c r="G11" s="11" t="s">
        <v>98</v>
      </c>
    </row>
    <row r="12" spans="1:7" ht="10.8" thickBot="1" x14ac:dyDescent="0.25">
      <c r="A12" s="12" t="s">
        <v>22</v>
      </c>
      <c r="B12" s="9" t="s">
        <v>71</v>
      </c>
      <c r="C12" s="9" t="s">
        <v>104</v>
      </c>
      <c r="D12" s="10">
        <v>43220</v>
      </c>
      <c r="E12" s="69">
        <v>2</v>
      </c>
      <c r="F12" s="70">
        <v>2</v>
      </c>
      <c r="G12" s="11" t="s">
        <v>99</v>
      </c>
    </row>
    <row r="13" spans="1:7" ht="10.8" thickBot="1" x14ac:dyDescent="0.25">
      <c r="A13" s="12" t="s">
        <v>21</v>
      </c>
      <c r="B13" s="19" t="s">
        <v>71</v>
      </c>
      <c r="C13" s="19" t="s">
        <v>100</v>
      </c>
      <c r="D13" s="20">
        <v>43222</v>
      </c>
      <c r="E13" s="71">
        <v>1.5</v>
      </c>
      <c r="F13" s="71">
        <v>2</v>
      </c>
      <c r="G13" s="21" t="s">
        <v>101</v>
      </c>
    </row>
    <row r="15" spans="1:7" ht="10.8" thickBot="1" x14ac:dyDescent="0.25"/>
    <row r="16" spans="1:7" ht="10.8" thickBot="1" x14ac:dyDescent="0.25">
      <c r="A16" s="35" t="s">
        <v>9</v>
      </c>
      <c r="B16" s="37" t="s">
        <v>107</v>
      </c>
      <c r="C16" s="36" t="s">
        <v>108</v>
      </c>
    </row>
    <row r="17" spans="1:3" x14ac:dyDescent="0.2">
      <c r="A17" s="33" t="s">
        <v>6</v>
      </c>
      <c r="B17" s="28">
        <f>SUM(E2,E3,E4,E5,E7,E9,E10)</f>
        <v>7.5</v>
      </c>
      <c r="C17" s="41">
        <f>SUM(F2,F3,F4,F5,F7,F9,F10)</f>
        <v>8</v>
      </c>
    </row>
    <row r="18" spans="1:3" x14ac:dyDescent="0.2">
      <c r="A18" s="13" t="s">
        <v>70</v>
      </c>
      <c r="B18" s="28">
        <f>SUM(E6,E8)</f>
        <v>4.5</v>
      </c>
      <c r="C18" s="41">
        <f>SUM(F6,F8)</f>
        <v>5.5</v>
      </c>
    </row>
    <row r="19" spans="1:3" x14ac:dyDescent="0.2">
      <c r="A19" s="13" t="s">
        <v>71</v>
      </c>
      <c r="B19" s="28">
        <f>SUM(E11,E12,E13)</f>
        <v>5</v>
      </c>
      <c r="C19" s="41">
        <f>SUM(F11,F12,F13)</f>
        <v>5.5</v>
      </c>
    </row>
    <row r="20" spans="1:3" ht="10.8" thickBot="1" x14ac:dyDescent="0.25">
      <c r="A20" s="18" t="s">
        <v>11</v>
      </c>
      <c r="B20" s="26">
        <f>SUM(B17,B18,B19)</f>
        <v>17</v>
      </c>
      <c r="C20" s="32">
        <f>SUM(C17:C19)</f>
        <v>19</v>
      </c>
    </row>
    <row r="21" spans="1:3" ht="10.8" thickBot="1" x14ac:dyDescent="0.25">
      <c r="A21" s="9"/>
      <c r="C21" s="9"/>
    </row>
    <row r="22" spans="1:3" ht="10.8" thickBot="1" x14ac:dyDescent="0.25">
      <c r="A22" s="35" t="s">
        <v>14</v>
      </c>
      <c r="B22" s="37" t="s">
        <v>107</v>
      </c>
      <c r="C22" s="36" t="s">
        <v>108</v>
      </c>
    </row>
    <row r="23" spans="1:3" x14ac:dyDescent="0.2">
      <c r="A23" s="13" t="s">
        <v>21</v>
      </c>
      <c r="B23" s="28">
        <f>SUM(E2,E7,E11,E13)</f>
        <v>5.5</v>
      </c>
      <c r="C23" s="41">
        <f>SUM(F2,F7,F13,F11)</f>
        <v>6</v>
      </c>
    </row>
    <row r="24" spans="1:3" x14ac:dyDescent="0.2">
      <c r="A24" s="13" t="s">
        <v>23</v>
      </c>
      <c r="B24" s="28">
        <f>SUM(E3,E4,E9,E10)</f>
        <v>3.5</v>
      </c>
      <c r="C24" s="41">
        <f>SUM(F3,F4,F9,F10)</f>
        <v>3.5</v>
      </c>
    </row>
    <row r="25" spans="1:3" x14ac:dyDescent="0.2">
      <c r="A25" s="13" t="s">
        <v>22</v>
      </c>
      <c r="B25" s="28">
        <f>SUM(E5,E6,E8,E12)</f>
        <v>8</v>
      </c>
      <c r="C25" s="41">
        <f>SUM(F5,F6,F8,F12)</f>
        <v>9.5</v>
      </c>
    </row>
    <row r="26" spans="1:3" ht="10.8" thickBot="1" x14ac:dyDescent="0.25">
      <c r="A26" s="34" t="s">
        <v>11</v>
      </c>
      <c r="B26" s="26">
        <f>SUM(B23,B24,B25)</f>
        <v>17</v>
      </c>
      <c r="C26" s="32">
        <f>SUM(C22:C25)</f>
        <v>19</v>
      </c>
    </row>
  </sheetData>
  <pageMargins left="0.70866141732283472" right="0.70866141732283472" top="0.78740157480314965" bottom="0.78740157480314965" header="0.31496062992125984" footer="0.31496062992125984"/>
  <pageSetup paperSize="9" orientation="landscape" r:id="rId1"/>
  <headerFooter>
    <oddHeader>&amp;LProjektname: AltFolio&amp;CFeinentwicklung&amp;RDatum: 24.05.2018</oddHeader>
    <oddFooter>&amp;CSeite 4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G33"/>
  <sheetViews>
    <sheetView zoomScale="145" zoomScaleNormal="145" workbookViewId="0">
      <selection activeCell="D2" sqref="D2"/>
    </sheetView>
  </sheetViews>
  <sheetFormatPr baseColWidth="10" defaultColWidth="11.109375" defaultRowHeight="10.199999999999999" x14ac:dyDescent="0.2"/>
  <cols>
    <col min="1" max="1" width="12.109375" style="6" customWidth="1"/>
    <col min="2" max="2" width="14.33203125" style="6" customWidth="1"/>
    <col min="3" max="3" width="33.109375" style="6" customWidth="1"/>
    <col min="4" max="4" width="7.6640625" style="6" bestFit="1" customWidth="1"/>
    <col min="5" max="5" width="9.6640625" style="6" customWidth="1"/>
    <col min="6" max="6" width="11.88671875" style="6" customWidth="1"/>
    <col min="7" max="7" width="42.5546875" style="6" customWidth="1"/>
    <col min="8" max="8" width="16.109375" style="6" bestFit="1" customWidth="1"/>
    <col min="9" max="16384" width="11.109375" style="6"/>
  </cols>
  <sheetData>
    <row r="1" spans="1:7" x14ac:dyDescent="0.2">
      <c r="A1" s="1" t="s">
        <v>14</v>
      </c>
      <c r="B1" s="63" t="s">
        <v>9</v>
      </c>
      <c r="C1" s="4" t="s">
        <v>1</v>
      </c>
      <c r="D1" s="29" t="s">
        <v>0</v>
      </c>
      <c r="E1" s="4" t="s">
        <v>105</v>
      </c>
      <c r="F1" s="4" t="s">
        <v>106</v>
      </c>
      <c r="G1" s="5" t="s">
        <v>10</v>
      </c>
    </row>
    <row r="2" spans="1:7" ht="10.8" thickBot="1" x14ac:dyDescent="0.25">
      <c r="A2" s="7" t="s">
        <v>21</v>
      </c>
      <c r="B2" s="9" t="s">
        <v>114</v>
      </c>
      <c r="C2" s="9" t="s">
        <v>122</v>
      </c>
      <c r="D2" s="10">
        <v>43240</v>
      </c>
      <c r="E2" s="66">
        <v>0.5</v>
      </c>
      <c r="F2" s="60">
        <v>0.5</v>
      </c>
      <c r="G2" s="25" t="s">
        <v>140</v>
      </c>
    </row>
    <row r="3" spans="1:7" ht="10.8" thickBot="1" x14ac:dyDescent="0.25">
      <c r="A3" s="12" t="s">
        <v>55</v>
      </c>
      <c r="B3" s="9" t="s">
        <v>114</v>
      </c>
      <c r="C3" s="9" t="s">
        <v>117</v>
      </c>
      <c r="D3" s="10">
        <v>43240</v>
      </c>
      <c r="E3" s="66">
        <v>0.5</v>
      </c>
      <c r="F3" s="60">
        <v>0.5</v>
      </c>
      <c r="G3" s="25" t="s">
        <v>141</v>
      </c>
    </row>
    <row r="4" spans="1:7" ht="10.8" thickBot="1" x14ac:dyDescent="0.25">
      <c r="A4" s="12" t="s">
        <v>22</v>
      </c>
      <c r="B4" s="9" t="s">
        <v>115</v>
      </c>
      <c r="C4" s="9" t="s">
        <v>137</v>
      </c>
      <c r="D4" s="10">
        <v>43240</v>
      </c>
      <c r="E4" s="66">
        <v>1</v>
      </c>
      <c r="F4" s="60">
        <v>1</v>
      </c>
      <c r="G4" s="25" t="s">
        <v>142</v>
      </c>
    </row>
    <row r="5" spans="1:7" ht="10.8" thickBot="1" x14ac:dyDescent="0.25">
      <c r="A5" s="12" t="s">
        <v>55</v>
      </c>
      <c r="B5" s="9" t="s">
        <v>114</v>
      </c>
      <c r="C5" s="9" t="s">
        <v>119</v>
      </c>
      <c r="D5" s="10">
        <v>43241</v>
      </c>
      <c r="E5" s="66">
        <v>0.5</v>
      </c>
      <c r="F5" s="60">
        <v>1</v>
      </c>
      <c r="G5" s="25" t="s">
        <v>143</v>
      </c>
    </row>
    <row r="6" spans="1:7" ht="10.8" thickBot="1" x14ac:dyDescent="0.25">
      <c r="A6" s="12" t="s">
        <v>22</v>
      </c>
      <c r="B6" s="9" t="s">
        <v>115</v>
      </c>
      <c r="C6" s="9" t="s">
        <v>120</v>
      </c>
      <c r="D6" s="10">
        <v>43241</v>
      </c>
      <c r="E6" s="66">
        <v>1</v>
      </c>
      <c r="F6" s="60">
        <v>1</v>
      </c>
      <c r="G6" s="25" t="s">
        <v>154</v>
      </c>
    </row>
    <row r="7" spans="1:7" ht="10.8" thickBot="1" x14ac:dyDescent="0.25">
      <c r="A7" s="12" t="s">
        <v>21</v>
      </c>
      <c r="B7" s="16" t="s">
        <v>114</v>
      </c>
      <c r="C7" s="9" t="s">
        <v>121</v>
      </c>
      <c r="D7" s="10">
        <v>43241</v>
      </c>
      <c r="E7" s="66">
        <v>0.5</v>
      </c>
      <c r="F7" s="60">
        <v>1</v>
      </c>
      <c r="G7" s="25" t="s">
        <v>144</v>
      </c>
    </row>
    <row r="8" spans="1:7" ht="10.8" thickBot="1" x14ac:dyDescent="0.25">
      <c r="A8" s="12" t="s">
        <v>55</v>
      </c>
      <c r="B8" s="9" t="s">
        <v>114</v>
      </c>
      <c r="C8" s="9" t="s">
        <v>123</v>
      </c>
      <c r="D8" s="10">
        <v>43241</v>
      </c>
      <c r="E8" s="66">
        <v>2</v>
      </c>
      <c r="F8" s="60">
        <v>2.5</v>
      </c>
      <c r="G8" s="25" t="s">
        <v>145</v>
      </c>
    </row>
    <row r="9" spans="1:7" ht="10.8" thickBot="1" x14ac:dyDescent="0.25">
      <c r="A9" s="12" t="s">
        <v>22</v>
      </c>
      <c r="B9" s="9" t="s">
        <v>114</v>
      </c>
      <c r="C9" s="9" t="s">
        <v>131</v>
      </c>
      <c r="D9" s="10">
        <v>43241</v>
      </c>
      <c r="E9" s="66">
        <v>1</v>
      </c>
      <c r="F9" s="60">
        <v>1</v>
      </c>
      <c r="G9" s="25" t="s">
        <v>156</v>
      </c>
    </row>
    <row r="10" spans="1:7" ht="10.8" thickBot="1" x14ac:dyDescent="0.25">
      <c r="A10" s="12" t="s">
        <v>21</v>
      </c>
      <c r="B10" s="16" t="s">
        <v>116</v>
      </c>
      <c r="C10" s="9" t="s">
        <v>138</v>
      </c>
      <c r="D10" s="10">
        <v>43242</v>
      </c>
      <c r="E10" s="66">
        <v>2</v>
      </c>
      <c r="F10" s="60">
        <v>2</v>
      </c>
      <c r="G10" s="25" t="s">
        <v>146</v>
      </c>
    </row>
    <row r="11" spans="1:7" ht="10.8" thickBot="1" x14ac:dyDescent="0.25">
      <c r="A11" s="12" t="s">
        <v>55</v>
      </c>
      <c r="B11" s="9" t="s">
        <v>116</v>
      </c>
      <c r="C11" s="9" t="s">
        <v>139</v>
      </c>
      <c r="D11" s="10">
        <v>43242</v>
      </c>
      <c r="E11" s="66">
        <v>0.5</v>
      </c>
      <c r="F11" s="60">
        <v>1</v>
      </c>
      <c r="G11" s="40" t="s">
        <v>147</v>
      </c>
    </row>
    <row r="12" spans="1:7" ht="10.8" thickBot="1" x14ac:dyDescent="0.25">
      <c r="A12" s="15" t="s">
        <v>22</v>
      </c>
      <c r="B12" s="9" t="s">
        <v>116</v>
      </c>
      <c r="C12" s="9" t="s">
        <v>133</v>
      </c>
      <c r="D12" s="10">
        <v>43242</v>
      </c>
      <c r="E12" s="60">
        <v>1.5</v>
      </c>
      <c r="F12" s="60">
        <v>1</v>
      </c>
      <c r="G12" s="25" t="s">
        <v>148</v>
      </c>
    </row>
    <row r="13" spans="1:7" ht="10.8" thickBot="1" x14ac:dyDescent="0.25">
      <c r="A13" s="12" t="s">
        <v>55</v>
      </c>
      <c r="B13" s="9" t="s">
        <v>114</v>
      </c>
      <c r="C13" s="9" t="s">
        <v>132</v>
      </c>
      <c r="D13" s="10">
        <v>43242</v>
      </c>
      <c r="E13" s="60">
        <v>1</v>
      </c>
      <c r="F13" s="60">
        <v>0.5</v>
      </c>
      <c r="G13" s="11" t="s">
        <v>149</v>
      </c>
    </row>
    <row r="14" spans="1:7" ht="10.8" thickBot="1" x14ac:dyDescent="0.25">
      <c r="A14" s="12" t="s">
        <v>21</v>
      </c>
      <c r="B14" s="16" t="s">
        <v>114</v>
      </c>
      <c r="C14" s="9" t="s">
        <v>136</v>
      </c>
      <c r="D14" s="10">
        <v>43243</v>
      </c>
      <c r="E14" s="66">
        <v>1.5</v>
      </c>
      <c r="F14" s="60">
        <v>1.5</v>
      </c>
      <c r="G14" s="25" t="s">
        <v>155</v>
      </c>
    </row>
    <row r="15" spans="1:7" ht="10.8" thickBot="1" x14ac:dyDescent="0.25">
      <c r="A15" s="12" t="s">
        <v>22</v>
      </c>
      <c r="B15" s="9" t="s">
        <v>116</v>
      </c>
      <c r="C15" s="9" t="s">
        <v>153</v>
      </c>
      <c r="D15" s="10">
        <v>43243</v>
      </c>
      <c r="E15" s="60">
        <v>1</v>
      </c>
      <c r="F15" s="60">
        <v>0.5</v>
      </c>
      <c r="G15" s="11" t="s">
        <v>157</v>
      </c>
    </row>
    <row r="16" spans="1:7" ht="10.8" thickBot="1" x14ac:dyDescent="0.25">
      <c r="A16" s="12" t="s">
        <v>22</v>
      </c>
      <c r="B16" s="9" t="s">
        <v>114</v>
      </c>
      <c r="C16" s="9" t="s">
        <v>135</v>
      </c>
      <c r="D16" s="10">
        <v>43243</v>
      </c>
      <c r="E16" s="60">
        <v>1.5</v>
      </c>
      <c r="F16" s="60">
        <v>1.5</v>
      </c>
      <c r="G16" s="11" t="s">
        <v>150</v>
      </c>
    </row>
    <row r="17" spans="1:7" ht="10.8" thickBot="1" x14ac:dyDescent="0.25">
      <c r="A17" s="12" t="s">
        <v>21</v>
      </c>
      <c r="B17" s="9" t="s">
        <v>7</v>
      </c>
      <c r="C17" s="9" t="s">
        <v>134</v>
      </c>
      <c r="D17" s="10">
        <v>43243</v>
      </c>
      <c r="E17" s="60">
        <v>3</v>
      </c>
      <c r="F17" s="60">
        <v>3</v>
      </c>
      <c r="G17" s="11" t="s">
        <v>151</v>
      </c>
    </row>
    <row r="18" spans="1:7" ht="10.8" thickBot="1" x14ac:dyDescent="0.25">
      <c r="A18" s="12" t="s">
        <v>22</v>
      </c>
      <c r="B18" s="19" t="s">
        <v>8</v>
      </c>
      <c r="C18" s="19" t="s">
        <v>118</v>
      </c>
      <c r="D18" s="20">
        <v>43244</v>
      </c>
      <c r="E18" s="59">
        <v>1</v>
      </c>
      <c r="F18" s="59">
        <v>1</v>
      </c>
      <c r="G18" s="21" t="s">
        <v>152</v>
      </c>
    </row>
    <row r="20" spans="1:7" ht="10.8" thickBot="1" x14ac:dyDescent="0.25"/>
    <row r="21" spans="1:7" ht="10.8" thickBot="1" x14ac:dyDescent="0.25">
      <c r="A21" s="35" t="s">
        <v>9</v>
      </c>
      <c r="B21" s="37" t="s">
        <v>107</v>
      </c>
      <c r="C21" s="84" t="s">
        <v>108</v>
      </c>
      <c r="D21" s="85"/>
    </row>
    <row r="22" spans="1:7" x14ac:dyDescent="0.2">
      <c r="A22" s="33" t="s">
        <v>114</v>
      </c>
      <c r="B22" s="22">
        <f>SUM(E2,E3,E5,E7,E8,E9,E13,E14,E16)</f>
        <v>9</v>
      </c>
      <c r="C22" s="79">
        <f>SUM(F2,F3,F5,F7,F8,F9,F14,F13,F16)</f>
        <v>10</v>
      </c>
      <c r="D22" s="79"/>
    </row>
    <row r="23" spans="1:7" x14ac:dyDescent="0.2">
      <c r="A23" s="13" t="s">
        <v>115</v>
      </c>
      <c r="B23" s="22">
        <f>SUM(E4,E6)</f>
        <v>2</v>
      </c>
      <c r="C23" s="78">
        <f>SUM(F4,F6)</f>
        <v>2</v>
      </c>
      <c r="D23" s="79"/>
    </row>
    <row r="24" spans="1:7" x14ac:dyDescent="0.2">
      <c r="A24" s="13" t="s">
        <v>116</v>
      </c>
      <c r="B24" s="22">
        <f>SUM(E10,E11,E12,E15)</f>
        <v>5</v>
      </c>
      <c r="C24" s="78">
        <f>SUM(F10,F11,F12,F15)</f>
        <v>4.5</v>
      </c>
      <c r="D24" s="79"/>
    </row>
    <row r="25" spans="1:7" x14ac:dyDescent="0.2">
      <c r="A25" s="13" t="s">
        <v>7</v>
      </c>
      <c r="B25" s="22">
        <f>SUM(E17)</f>
        <v>3</v>
      </c>
      <c r="C25" s="78">
        <f>SUM(F17)</f>
        <v>3</v>
      </c>
      <c r="D25" s="79"/>
    </row>
    <row r="26" spans="1:7" x14ac:dyDescent="0.2">
      <c r="A26" s="13" t="s">
        <v>8</v>
      </c>
      <c r="B26" s="22">
        <f>SUM(E18)</f>
        <v>1</v>
      </c>
      <c r="C26" s="78">
        <f>SUM(F18)</f>
        <v>1</v>
      </c>
      <c r="D26" s="79"/>
    </row>
    <row r="27" spans="1:7" ht="10.8" thickBot="1" x14ac:dyDescent="0.25">
      <c r="A27" s="18" t="s">
        <v>11</v>
      </c>
      <c r="B27" s="43">
        <f>SUM(B22,B23,B24,B25,B26)</f>
        <v>20</v>
      </c>
      <c r="C27" s="80">
        <f>SUM(C22,C23,C24,C26,C25)</f>
        <v>20.5</v>
      </c>
      <c r="D27" s="81"/>
    </row>
    <row r="28" spans="1:7" ht="10.8" thickBot="1" x14ac:dyDescent="0.25">
      <c r="A28" s="9"/>
      <c r="B28" s="52"/>
      <c r="C28" s="58"/>
      <c r="D28" s="58"/>
    </row>
    <row r="29" spans="1:7" ht="11.25" customHeight="1" thickBot="1" x14ac:dyDescent="0.25">
      <c r="A29" s="35" t="s">
        <v>14</v>
      </c>
      <c r="B29" s="49" t="s">
        <v>107</v>
      </c>
      <c r="C29" s="82" t="s">
        <v>108</v>
      </c>
      <c r="D29" s="83"/>
    </row>
    <row r="30" spans="1:7" x14ac:dyDescent="0.2">
      <c r="A30" s="23" t="s">
        <v>21</v>
      </c>
      <c r="B30" s="47">
        <f>SUM(E2,E7,E10,E14,E17)</f>
        <v>7.5</v>
      </c>
      <c r="C30" s="76">
        <f>SUM(F2,F7,F10,F14,F17)</f>
        <v>8</v>
      </c>
      <c r="D30" s="77"/>
    </row>
    <row r="31" spans="1:7" x14ac:dyDescent="0.2">
      <c r="A31" s="13" t="s">
        <v>23</v>
      </c>
      <c r="B31" s="52">
        <f>SUM(E3,E5,E8,E11,E13)</f>
        <v>4.5</v>
      </c>
      <c r="C31" s="78">
        <f>SUM(F13,F11,F5,F8,F3)</f>
        <v>5.5</v>
      </c>
      <c r="D31" s="79"/>
    </row>
    <row r="32" spans="1:7" x14ac:dyDescent="0.2">
      <c r="A32" s="13" t="s">
        <v>22</v>
      </c>
      <c r="B32" s="52">
        <f>SUM(E18,E4,E6,E9,E12,E16,E15)</f>
        <v>8</v>
      </c>
      <c r="C32" s="78">
        <f>SUM(F4,F6,F9,F12,F15,F16,F18)</f>
        <v>7</v>
      </c>
      <c r="D32" s="79"/>
    </row>
    <row r="33" spans="1:4" ht="10.8" thickBot="1" x14ac:dyDescent="0.25">
      <c r="A33" s="18" t="s">
        <v>11</v>
      </c>
      <c r="B33" s="43">
        <f>SUM(B30,B31,B32)</f>
        <v>20</v>
      </c>
      <c r="C33" s="80">
        <f>SUM(C30,C31,C32)</f>
        <v>20.5</v>
      </c>
      <c r="D33" s="81"/>
    </row>
  </sheetData>
  <mergeCells count="12">
    <mergeCell ref="C32:D32"/>
    <mergeCell ref="C33:D33"/>
    <mergeCell ref="C31:D31"/>
    <mergeCell ref="C21:D21"/>
    <mergeCell ref="C22:D22"/>
    <mergeCell ref="C23:D23"/>
    <mergeCell ref="C30:D30"/>
    <mergeCell ref="C25:D25"/>
    <mergeCell ref="C24:D24"/>
    <mergeCell ref="C29:D29"/>
    <mergeCell ref="C26:D26"/>
    <mergeCell ref="C27:D27"/>
  </mergeCells>
  <pageMargins left="0.70866141732283472" right="0.70866141732283472" top="0.78740157480314965" bottom="0.78740157480314965" header="0.31496062992125984" footer="0.31496062992125984"/>
  <pageSetup paperSize="9" orientation="landscape" r:id="rId1"/>
  <headerFooter>
    <oddHeader>&amp;LProjektname: AltFolio&amp;CTests und Abnahme&amp;RDatum: 24.05.2018</oddHeader>
    <oddFooter>&amp;CSeite 5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D30"/>
  <sheetViews>
    <sheetView zoomScale="145" zoomScaleNormal="145" workbookViewId="0">
      <selection activeCell="E10" sqref="E10"/>
    </sheetView>
  </sheetViews>
  <sheetFormatPr baseColWidth="10" defaultColWidth="11.109375" defaultRowHeight="10.199999999999999" x14ac:dyDescent="0.2"/>
  <cols>
    <col min="1" max="1" width="17.6640625" style="22" bestFit="1" customWidth="1"/>
    <col min="2" max="2" width="32.6640625" style="22" bestFit="1" customWidth="1"/>
    <col min="3" max="3" width="11.44140625" style="22" bestFit="1" customWidth="1"/>
    <col min="4" max="4" width="14" style="22" bestFit="1" customWidth="1"/>
    <col min="5" max="5" width="11.109375" style="22"/>
    <col min="6" max="6" width="51.6640625" style="22" customWidth="1"/>
    <col min="7" max="16384" width="11.109375" style="22"/>
  </cols>
  <sheetData>
    <row r="1" spans="1:4" ht="10.8" thickBot="1" x14ac:dyDescent="0.25">
      <c r="A1" s="46"/>
      <c r="B1" s="62"/>
      <c r="C1" s="54" t="s">
        <v>105</v>
      </c>
      <c r="D1" s="39" t="s">
        <v>106</v>
      </c>
    </row>
    <row r="2" spans="1:4" ht="10.8" thickBot="1" x14ac:dyDescent="0.25">
      <c r="A2" s="48" t="s">
        <v>17</v>
      </c>
      <c r="B2" s="49"/>
      <c r="C2" s="50">
        <f>SUM(C4,C5,C6,C3)</f>
        <v>25.5</v>
      </c>
      <c r="D2" s="72">
        <f>SUM(D3,D4,D5,D6)</f>
        <v>30</v>
      </c>
    </row>
    <row r="3" spans="1:4" x14ac:dyDescent="0.2">
      <c r="A3" s="51"/>
      <c r="B3" s="52" t="s">
        <v>12</v>
      </c>
      <c r="C3" s="73">
        <v>2.5</v>
      </c>
      <c r="D3" s="56">
        <v>3</v>
      </c>
    </row>
    <row r="4" spans="1:4" x14ac:dyDescent="0.2">
      <c r="A4" s="51"/>
      <c r="B4" s="52" t="s">
        <v>2</v>
      </c>
      <c r="C4" s="74">
        <v>11</v>
      </c>
      <c r="D4" s="56">
        <v>12.5</v>
      </c>
    </row>
    <row r="5" spans="1:4" x14ac:dyDescent="0.2">
      <c r="A5" s="51"/>
      <c r="B5" s="52" t="s">
        <v>3</v>
      </c>
      <c r="C5" s="74">
        <v>1</v>
      </c>
      <c r="D5" s="56">
        <v>1</v>
      </c>
    </row>
    <row r="6" spans="1:4" ht="10.8" thickBot="1" x14ac:dyDescent="0.25">
      <c r="A6" s="51"/>
      <c r="B6" s="53" t="s">
        <v>15</v>
      </c>
      <c r="C6" s="75">
        <v>11</v>
      </c>
      <c r="D6" s="56">
        <v>13.5</v>
      </c>
    </row>
    <row r="7" spans="1:4" ht="10.8" thickBot="1" x14ac:dyDescent="0.25">
      <c r="A7" s="48" t="s">
        <v>18</v>
      </c>
      <c r="B7" s="49"/>
      <c r="C7" s="50">
        <f>SUM(C8,C9,C10,C11)</f>
        <v>14</v>
      </c>
      <c r="D7" s="72">
        <f>SUM(D8,D9,D10)</f>
        <v>16.5</v>
      </c>
    </row>
    <row r="8" spans="1:4" x14ac:dyDescent="0.2">
      <c r="A8" s="51"/>
      <c r="B8" s="52" t="s">
        <v>64</v>
      </c>
      <c r="C8" s="73">
        <v>4.5</v>
      </c>
      <c r="D8" s="56">
        <v>5</v>
      </c>
    </row>
    <row r="9" spans="1:4" x14ac:dyDescent="0.2">
      <c r="A9" s="51"/>
      <c r="B9" s="52" t="s">
        <v>4</v>
      </c>
      <c r="C9" s="74">
        <v>4.5</v>
      </c>
      <c r="D9" s="56">
        <v>5.5</v>
      </c>
    </row>
    <row r="10" spans="1:4" x14ac:dyDescent="0.2">
      <c r="A10" s="51"/>
      <c r="B10" s="52" t="s">
        <v>65</v>
      </c>
      <c r="C10" s="74">
        <v>5</v>
      </c>
      <c r="D10" s="56">
        <v>6</v>
      </c>
    </row>
    <row r="11" spans="1:4" ht="10.8" thickBot="1" x14ac:dyDescent="0.25">
      <c r="A11" s="51"/>
      <c r="B11" s="52" t="s">
        <v>5</v>
      </c>
      <c r="C11" s="75">
        <v>0</v>
      </c>
      <c r="D11" s="56">
        <v>0</v>
      </c>
    </row>
    <row r="12" spans="1:4" ht="10.8" thickBot="1" x14ac:dyDescent="0.25">
      <c r="A12" s="48" t="s">
        <v>19</v>
      </c>
      <c r="B12" s="49"/>
      <c r="C12" s="50">
        <v>17</v>
      </c>
      <c r="D12" s="72">
        <f>SUM(D13,D14,D15)</f>
        <v>19</v>
      </c>
    </row>
    <row r="13" spans="1:4" x14ac:dyDescent="0.2">
      <c r="A13" s="51"/>
      <c r="B13" s="52" t="s">
        <v>6</v>
      </c>
      <c r="C13" s="73">
        <v>5.5</v>
      </c>
      <c r="D13" s="56">
        <v>8</v>
      </c>
    </row>
    <row r="14" spans="1:4" x14ac:dyDescent="0.2">
      <c r="A14" s="51"/>
      <c r="B14" s="52" t="s">
        <v>70</v>
      </c>
      <c r="C14" s="74">
        <v>3.5</v>
      </c>
      <c r="D14" s="56">
        <v>5.5</v>
      </c>
    </row>
    <row r="15" spans="1:4" ht="10.8" thickBot="1" x14ac:dyDescent="0.25">
      <c r="A15" s="51"/>
      <c r="B15" s="52" t="s">
        <v>71</v>
      </c>
      <c r="C15" s="75">
        <v>8</v>
      </c>
      <c r="D15" s="56">
        <v>5.5</v>
      </c>
    </row>
    <row r="16" spans="1:4" ht="10.8" thickBot="1" x14ac:dyDescent="0.25">
      <c r="A16" s="48" t="s">
        <v>20</v>
      </c>
      <c r="B16" s="49"/>
      <c r="C16" s="50">
        <f>SUM(C17,C18,C19,C20,C21)</f>
        <v>20</v>
      </c>
      <c r="D16" s="72">
        <f>SUM(D17,D18,D19,D20,D21)</f>
        <v>20.5</v>
      </c>
    </row>
    <row r="17" spans="1:4" x14ac:dyDescent="0.2">
      <c r="A17" s="51"/>
      <c r="B17" s="52" t="s">
        <v>114</v>
      </c>
      <c r="C17" s="73">
        <v>9</v>
      </c>
      <c r="D17" s="56">
        <v>10</v>
      </c>
    </row>
    <row r="18" spans="1:4" x14ac:dyDescent="0.2">
      <c r="A18" s="51"/>
      <c r="B18" s="52" t="s">
        <v>115</v>
      </c>
      <c r="C18" s="74">
        <v>2</v>
      </c>
      <c r="D18" s="56">
        <v>2</v>
      </c>
    </row>
    <row r="19" spans="1:4" x14ac:dyDescent="0.2">
      <c r="A19" s="51"/>
      <c r="B19" s="52" t="s">
        <v>116</v>
      </c>
      <c r="C19" s="74">
        <v>5</v>
      </c>
      <c r="D19" s="56">
        <v>4.5</v>
      </c>
    </row>
    <row r="20" spans="1:4" x14ac:dyDescent="0.2">
      <c r="A20" s="51"/>
      <c r="B20" s="52" t="s">
        <v>72</v>
      </c>
      <c r="C20" s="74">
        <v>3</v>
      </c>
      <c r="D20" s="56">
        <v>3</v>
      </c>
    </row>
    <row r="21" spans="1:4" ht="10.8" thickBot="1" x14ac:dyDescent="0.25">
      <c r="A21" s="55"/>
      <c r="B21" s="43" t="s">
        <v>8</v>
      </c>
      <c r="C21" s="75">
        <v>1</v>
      </c>
      <c r="D21" s="57">
        <v>1</v>
      </c>
    </row>
    <row r="22" spans="1:4" ht="10.8" thickBot="1" x14ac:dyDescent="0.25">
      <c r="A22" s="48" t="s">
        <v>11</v>
      </c>
      <c r="B22" s="49"/>
      <c r="C22" s="50">
        <f>SUM(C2,C7,C12,C16)</f>
        <v>76.5</v>
      </c>
      <c r="D22" s="50">
        <f>SUM(D2,D7,D12,D16)</f>
        <v>86</v>
      </c>
    </row>
    <row r="23" spans="1:4" x14ac:dyDescent="0.2">
      <c r="A23" s="52"/>
      <c r="B23" s="52"/>
    </row>
    <row r="24" spans="1:4" x14ac:dyDescent="0.2">
      <c r="A24" s="52"/>
      <c r="B24" s="52"/>
    </row>
    <row r="25" spans="1:4" x14ac:dyDescent="0.2">
      <c r="A25" s="52"/>
      <c r="B25" s="52"/>
    </row>
    <row r="26" spans="1:4" x14ac:dyDescent="0.2">
      <c r="A26" s="52"/>
      <c r="B26" s="52"/>
    </row>
    <row r="28" spans="1:4" x14ac:dyDescent="0.2">
      <c r="A28" s="52"/>
      <c r="B28" s="52"/>
    </row>
    <row r="29" spans="1:4" x14ac:dyDescent="0.2">
      <c r="A29" s="52"/>
      <c r="B29" s="52"/>
    </row>
    <row r="30" spans="1:4" x14ac:dyDescent="0.2">
      <c r="A30" s="52"/>
      <c r="B30" s="52"/>
    </row>
  </sheetData>
  <pageMargins left="0.70866141732283472" right="0.70866141732283472" top="0.78740157480314965" bottom="0.78740157480314965" header="0.31496062992125984" footer="0.31496062992125984"/>
  <pageSetup paperSize="9" orientation="landscape" r:id="rId1"/>
  <headerFooter>
    <oddHeader>&amp;LProjektname: AltFolio&amp;CGesamtansicht&amp;RDatum: 24.05.2018</oddHeader>
    <oddFooter>&amp;CSeite 6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6</vt:i4>
      </vt:variant>
    </vt:vector>
  </HeadingPairs>
  <TitlesOfParts>
    <vt:vector size="6" baseType="lpstr">
      <vt:lpstr>Vorprojekt</vt:lpstr>
      <vt:lpstr>Projektmanagement</vt:lpstr>
      <vt:lpstr>Grobentwicklung</vt:lpstr>
      <vt:lpstr>Feinentwicklung</vt:lpstr>
      <vt:lpstr>Tests und Abnahme</vt:lpstr>
      <vt:lpstr>Gesamtansicht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Josef</dc:creator>
  <cp:lastModifiedBy>David Kost</cp:lastModifiedBy>
  <cp:lastPrinted>2018-05-23T20:04:20Z</cp:lastPrinted>
  <dcterms:created xsi:type="dcterms:W3CDTF">2011-11-24T09:03:11Z</dcterms:created>
  <dcterms:modified xsi:type="dcterms:W3CDTF">2018-10-10T07:02:35Z</dcterms:modified>
</cp:coreProperties>
</file>